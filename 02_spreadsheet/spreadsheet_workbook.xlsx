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_raw" sheetId="1" r:id="rId5"/>
  </sheets>
  <definedNames>
    <definedName hidden="1" localSheetId="0" name="_xlnm._FilterDatabase">transactions_raw!$M$1:$M$1000</definedName>
  </definedNames>
  <calcPr/>
</workbook>
</file>

<file path=xl/sharedStrings.xml><?xml version="1.0" encoding="utf-8"?>
<sst xmlns="http://schemas.openxmlformats.org/spreadsheetml/2006/main" count="2203" uniqueCount="111">
  <si>
    <t>transaction_id</t>
  </si>
  <si>
    <t>transaction_date</t>
  </si>
  <si>
    <t>merchant_name</t>
  </si>
  <si>
    <t>merchant_clean</t>
  </si>
  <si>
    <t>raw_amount</t>
  </si>
  <si>
    <t>currency</t>
  </si>
  <si>
    <t>amount_usd</t>
  </si>
  <si>
    <t>status</t>
  </si>
  <si>
    <t>clean_status</t>
  </si>
  <si>
    <t>risk_score</t>
  </si>
  <si>
    <t>clean_risk_score</t>
  </si>
  <si>
    <t>gateway_region</t>
  </si>
  <si>
    <t>gateway_region_clean</t>
  </si>
  <si>
    <t>user_id</t>
  </si>
  <si>
    <t>user_name</t>
  </si>
  <si>
    <t>payment_method</t>
  </si>
  <si>
    <t>high_value_flag</t>
  </si>
  <si>
    <t>high_risk_flag</t>
  </si>
  <si>
    <t>T001</t>
  </si>
  <si>
    <t>alpha mart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</si>
  <si>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</si>
  <si>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</si>
  <si>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</si>
  <si>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</si>
  <si>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</si>
  <si>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</si>
  <si>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</si>
  <si>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</si>
  <si>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>Captured</t>
  </si>
  <si>
    <t>REGION_MISSING</t>
  </si>
  <si>
    <t>U002</t>
  </si>
  <si>
    <t>Card</t>
  </si>
  <si>
    <t>T003</t>
  </si>
  <si>
    <t>BETA STORES</t>
  </si>
  <si>
    <t>CAPTURED</t>
  </si>
  <si>
    <t>U003</t>
  </si>
  <si>
    <t>NetBanking</t>
  </si>
  <si>
    <t>T004</t>
  </si>
  <si>
    <t>Beta  Stores</t>
  </si>
  <si>
    <t>failed e05 timeout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</si>
  <si>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</si>
  <si>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</si>
  <si>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</si>
  <si>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</si>
  <si>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</si>
  <si>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</si>
  <si>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</si>
  <si>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</si>
  <si>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</si>
  <si>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</si>
  <si>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</si>
  <si>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</si>
  <si>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</si>
  <si>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</si>
  <si>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</si>
  <si>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</si>
  <si>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</si>
  <si>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</si>
  <si>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</si>
  <si>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</si>
  <si>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</si>
  <si>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</si>
  <si>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</si>
  <si>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</si>
  <si>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</si>
  <si>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</si>
  <si>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</si>
  <si>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</si>
  <si>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</si>
  <si>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</si>
  <si>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</si>
  <si>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</si>
  <si>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</si>
  <si>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</si>
  <si>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</si>
  <si>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</si>
  <si>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</si>
  <si>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</si>
  <si>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</si>
  <si>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>risk-86</t>
  </si>
  <si>
    <t>T019</t>
  </si>
  <si>
    <t>score:67</t>
  </si>
  <si>
    <t>T020</t>
  </si>
  <si>
    <t>T021</t>
  </si>
  <si>
    <t>beta stores</t>
  </si>
  <si>
    <t>score:63</t>
  </si>
  <si>
    <t>T022</t>
  </si>
  <si>
    <t>T023</t>
  </si>
  <si>
    <t>City Pharma</t>
  </si>
  <si>
    <t>EUR</t>
  </si>
  <si>
    <t>EU</t>
  </si>
  <si>
    <t>T024</t>
  </si>
  <si>
    <t>Eco Home</t>
  </si>
  <si>
    <t>score:65</t>
  </si>
  <si>
    <t>T025</t>
  </si>
  <si>
    <t>eu</t>
  </si>
  <si>
    <t>T026</t>
  </si>
  <si>
    <t>T027</t>
  </si>
  <si>
    <t>DELTA TRAVELS</t>
  </si>
  <si>
    <t>USD</t>
  </si>
  <si>
    <t>us</t>
  </si>
  <si>
    <t>US</t>
  </si>
  <si>
    <t>T028</t>
  </si>
  <si>
    <t>Delta Travels</t>
  </si>
  <si>
    <t>risk-41</t>
  </si>
  <si>
    <t>T029</t>
  </si>
  <si>
    <t>delta travels</t>
  </si>
  <si>
    <t>score:58</t>
  </si>
  <si>
    <t>T030</t>
  </si>
  <si>
    <t>score:47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</si>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</sst>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M/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1F1F1F"/>
      <name val="&quot;Google Sans Flex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18</v>
      </c>
      <c r="B2" s="6">
        <v>46025.0</v>
      </c>
      <c r="C2" s="5" t="s">
        <v>19</v>
      </c>
      <c r="D2" s="5" t="str">
        <f t="shared" ref="D2:D31" si="1">PROPER(TRIM(C2))</f>
        <v>Alpha Mart</v>
      </c>
      <c r="E2" s="5">
        <v>420000.0</v>
      </c>
      <c r="F2" s="5" t="s">
        <v>20</v>
      </c>
      <c r="G2" s="5">
        <f>IFERROR(__xludf.DUMMYFUNCTION("ARRAYFORMULA(IF(A2:A1000="""","""",
IFERROR(
E2:E1000*XLOOKUP(
TEXT(B2:B1000,""m/d/yyyy"")&amp;UPPER(TRIM(F2:F1000)),
TEXT(IMPORTRANGE(""15EtSBFrUOLkr-THLYua4fjE3pDzvWDijMRScL6aQ264"",""exchange_rates!A2:A""),""m/d/yyyy"")&amp;
UPPER(TRIM(IMPORTRANGE(""15EtSBFrUO"&amp;"Lkr-THLYua4fjE3pDzvWDijMRScL6aQ264"",""exchange_rates!B2:B""))),
IMPORTRANGE(""15EtSBFrUOLkr-THLYua4fjE3pDzvWDijMRScL6aQ264"",""exchange_rates!C2:C"")
),
0
)))"),4998.0)</f>
        <v>4998</v>
      </c>
      <c r="H2" s="5" t="s">
        <v>21</v>
      </c>
      <c r="I2" s="5" t="str">
        <f t="shared" ref="I2:I31" si="2">PROPER(TRIM(H2))</f>
        <v>Captured</v>
      </c>
      <c r="J2" s="5" t="s">
        <v>22</v>
      </c>
      <c r="K2" s="5">
        <f>IFERROR(__xludf.DUMMYFUNCTION("ARRAYFORMULA(IF(A2:A1000="""", """", IF(LEN(J2:J1000), IFERROR(VALUE(REGEXEXTRACT(TO_TEXT(J2:J1000), ""\d+"")), J2:J1000), ""MISSING"")))"),62.0)</f>
        <v>62</v>
      </c>
      <c r="L2" s="5" t="s">
        <v>23</v>
      </c>
      <c r="M2" s="5" t="str">
        <f t="array" ref="M2:M1000">IF(A2:A1000="", "", IF(L2:L1000&lt;&gt;"", UPPER(TRIM(L2:L1000)), "REGION_MISSING"))</f>
        <v>APAC</v>
      </c>
      <c r="N2" s="5" t="s">
        <v>24</v>
      </c>
      <c r="O2" s="5" t="str">
        <f>IFERROR(__xludf.DUMMYFUNCTION("ARRAYFORMULA(IF(A2:A1000="""", """", XLOOKUP(D2:D1000, IMPORTRANGE(""107uLiIxq881z3WogkUxYZvLlY2zVtE2gcYTnYdvS-xs"", ""merchant_master!B2:B""), IMPORTRANGE(""107uLiIxq881z3WogkUxYZvLlY2zVtE2gcYTnYdvS-xs"", ""merchant_master!C2:E""), ""Merchant Not Found"""&amp;")))"),"Aisha Khan")</f>
        <v>Aisha Khan</v>
      </c>
      <c r="P2" s="5" t="s">
        <v>25</v>
      </c>
      <c r="Q2" s="7">
        <f t="array" ref="Q2:Q1000">IF(A2:A1000="", "", IF(
  ((L2:L1000="APAC") * (G2:G1000 &gt; 5000)) + 
  ((L2:L1000="EU") * (G2:G1000 &gt; 6000)) + 
  ((L2:L1000="US") * (G2:G1000 &gt; 7000)), 
  1, 0))</f>
        <v>0</v>
      </c>
      <c r="R2" s="7">
        <f>IFERROR(__xludf.DUMMYFUNCTION("ARRAYFORMULA(IF(A2:A1000="""", """", IF(
  (K2:K1000 &gt;= 70) + (REGEXMATCH(LOWER(I2:I1000), ""chargeback"")), 
  1, 0)))"),0.0)</f>
        <v>0</v>
      </c>
      <c r="S2" s="7" t="str">
        <f>IFERROR(__xludf.DUMMYFUNCTION("INDEX(QUERY(G2:M1000, ""select M, sum(G) where M is not null group by M order by sum(G) desc label sum(G) ''""), 1, 1)"),"APAC")</f>
        <v>APAC</v>
      </c>
    </row>
    <row r="3">
      <c r="A3" s="5" t="s">
        <v>26</v>
      </c>
      <c r="B3" s="6">
        <v>46025.0</v>
      </c>
      <c r="C3" s="5" t="s">
        <v>27</v>
      </c>
      <c r="D3" s="5" t="str">
        <f t="shared" si="1"/>
        <v>Alpha Mart</v>
      </c>
      <c r="E3" s="5">
        <v>210000.0</v>
      </c>
      <c r="F3" s="5" t="s">
        <v>20</v>
      </c>
      <c r="G3" s="5">
        <f>IFERROR(__xludf.DUMMYFUNCTION("""COMPUTED_VALUE"""),2499.0)</f>
        <v>2499</v>
      </c>
      <c r="H3" s="5" t="s">
        <v>28</v>
      </c>
      <c r="I3" s="5" t="str">
        <f t="shared" si="2"/>
        <v>Captured</v>
      </c>
      <c r="J3" s="5">
        <v>55.0</v>
      </c>
      <c r="K3" s="5">
        <f>IFERROR(__xludf.DUMMYFUNCTION("""COMPUTED_VALUE"""),55.0)</f>
        <v>55</v>
      </c>
      <c r="M3" s="7" t="s">
        <v>29</v>
      </c>
      <c r="N3" s="5" t="s">
        <v>30</v>
      </c>
      <c r="O3" s="5" t="str">
        <f>IFERROR(__xludf.DUMMYFUNCTION("""COMPUTED_VALUE"""),"Aisha Khan")</f>
        <v>Aisha Khan</v>
      </c>
      <c r="P3" s="5" t="s">
        <v>31</v>
      </c>
      <c r="Q3" s="7">
        <v>0.0</v>
      </c>
      <c r="R3" s="7">
        <f>IFERROR(__xludf.DUMMYFUNCTION("""COMPUTED_VALUE"""),0.0)</f>
        <v>0</v>
      </c>
    </row>
    <row r="4">
      <c r="A4" s="5" t="s">
        <v>32</v>
      </c>
      <c r="B4" s="6">
        <v>46025.0</v>
      </c>
      <c r="C4" s="5" t="s">
        <v>33</v>
      </c>
      <c r="D4" s="5" t="str">
        <f t="shared" si="1"/>
        <v>Beta Stores</v>
      </c>
      <c r="E4" s="5">
        <v>510000.0</v>
      </c>
      <c r="F4" s="5" t="s">
        <v>20</v>
      </c>
      <c r="G4" s="5">
        <f>IFERROR(__xludf.DUMMYFUNCTION("""COMPUTED_VALUE"""),6069.0)</f>
        <v>6069</v>
      </c>
      <c r="H4" s="5" t="s">
        <v>34</v>
      </c>
      <c r="I4" s="5" t="str">
        <f t="shared" si="2"/>
        <v>Captured</v>
      </c>
      <c r="J4" s="5">
        <v>71.0</v>
      </c>
      <c r="K4" s="5">
        <f>IFERROR(__xludf.DUMMYFUNCTION("""COMPUTED_VALUE"""),71.0)</f>
        <v>71</v>
      </c>
      <c r="L4" s="5" t="s">
        <v>23</v>
      </c>
      <c r="M4" s="5" t="s">
        <v>23</v>
      </c>
      <c r="N4" s="5" t="s">
        <v>35</v>
      </c>
      <c r="O4" s="5" t="str">
        <f>IFERROR(__xludf.DUMMYFUNCTION("""COMPUTED_VALUE"""),"Rohan Mehta")</f>
        <v>Rohan Mehta</v>
      </c>
      <c r="P4" s="5" t="s">
        <v>36</v>
      </c>
      <c r="Q4" s="7">
        <v>1.0</v>
      </c>
      <c r="R4" s="7">
        <f>IFERROR(__xludf.DUMMYFUNCTION("""COMPUTED_VALUE"""),1.0)</f>
        <v>1</v>
      </c>
    </row>
    <row r="5">
      <c r="A5" s="5" t="s">
        <v>37</v>
      </c>
      <c r="B5" s="6">
        <v>46056.0</v>
      </c>
      <c r="C5" s="5" t="s">
        <v>38</v>
      </c>
      <c r="D5" s="5" t="str">
        <f t="shared" si="1"/>
        <v>Beta Stores</v>
      </c>
      <c r="E5" s="5">
        <v>160000.0</v>
      </c>
      <c r="F5" s="5" t="s">
        <v>20</v>
      </c>
      <c r="G5" s="5">
        <f>IFERROR(__xludf.DUMMYFUNCTION("""COMPUTED_VALUE"""),1920.0)</f>
        <v>1920</v>
      </c>
      <c r="H5" s="5" t="s">
        <v>39</v>
      </c>
      <c r="I5" s="5" t="str">
        <f t="shared" si="2"/>
        <v>Failed E05 Timeout</v>
      </c>
      <c r="J5" s="5">
        <v>68.0</v>
      </c>
      <c r="K5" s="5">
        <f>IFERROR(__xludf.DUMMYFUNCTION("""COMPUTED_VALUE"""),68.0)</f>
        <v>68</v>
      </c>
      <c r="L5" s="5" t="s">
        <v>40</v>
      </c>
      <c r="M5" s="5" t="s">
        <v>23</v>
      </c>
      <c r="N5" s="5" t="s">
        <v>41</v>
      </c>
      <c r="O5" s="5" t="str">
        <f>IFERROR(__xludf.DUMMYFUNCTION("""COMPUTED_VALUE"""),"Rohan Mehta")</f>
        <v>Rohan Mehta</v>
      </c>
      <c r="P5" s="5" t="s">
        <v>31</v>
      </c>
      <c r="Q5" s="7">
        <v>0.0</v>
      </c>
      <c r="R5" s="7">
        <f>IFERROR(__xludf.DUMMYFUNCTION("""COMPUTED_VALUE"""),0.0)</f>
        <v>0</v>
      </c>
    </row>
    <row r="6">
      <c r="A6" s="5" t="s">
        <v>42</v>
      </c>
      <c r="B6" s="6">
        <v>46056.0</v>
      </c>
      <c r="C6" s="5" t="s">
        <v>43</v>
      </c>
      <c r="D6" s="5" t="str">
        <f t="shared" si="1"/>
        <v>Alpha Mart</v>
      </c>
      <c r="E6" s="5">
        <v>390000.0</v>
      </c>
      <c r="F6" s="5" t="s">
        <v>20</v>
      </c>
      <c r="G6" s="5">
        <f>IFERROR(__xludf.DUMMYFUNCTION("""COMPUTED_VALUE"""),4680.0)</f>
        <v>4680</v>
      </c>
      <c r="H6" s="5" t="s">
        <v>34</v>
      </c>
      <c r="I6" s="5" t="str">
        <f t="shared" si="2"/>
        <v>Captured</v>
      </c>
      <c r="J6" s="5">
        <v>58.0</v>
      </c>
      <c r="K6" s="5">
        <f>IFERROR(__xludf.DUMMYFUNCTION("""COMPUTED_VALUE"""),58.0)</f>
        <v>58</v>
      </c>
      <c r="M6" s="7" t="s">
        <v>29</v>
      </c>
      <c r="N6" s="5" t="s">
        <v>24</v>
      </c>
      <c r="O6" s="5" t="str">
        <f>IFERROR(__xludf.DUMMYFUNCTION("""COMPUTED_VALUE"""),"Aisha Khan")</f>
        <v>Aisha Khan</v>
      </c>
      <c r="P6" s="5" t="s">
        <v>25</v>
      </c>
      <c r="Q6" s="7">
        <v>0.0</v>
      </c>
      <c r="R6" s="7">
        <f>IFERROR(__xludf.DUMMYFUNCTION("""COMPUTED_VALUE"""),0.0)</f>
        <v>0</v>
      </c>
    </row>
    <row r="7">
      <c r="A7" s="5" t="s">
        <v>44</v>
      </c>
      <c r="B7" s="6">
        <v>46056.0</v>
      </c>
      <c r="C7" s="5" t="s">
        <v>38</v>
      </c>
      <c r="D7" s="5" t="str">
        <f t="shared" si="1"/>
        <v>Beta Stores</v>
      </c>
      <c r="E7" s="5">
        <v>275000.0</v>
      </c>
      <c r="F7" s="5" t="s">
        <v>20</v>
      </c>
      <c r="G7" s="5">
        <f>IFERROR(__xludf.DUMMYFUNCTION("""COMPUTED_VALUE"""),3300.0)</f>
        <v>3300</v>
      </c>
      <c r="H7" s="5" t="s">
        <v>28</v>
      </c>
      <c r="I7" s="5" t="str">
        <f t="shared" si="2"/>
        <v>Captured</v>
      </c>
      <c r="J7" s="5" t="s">
        <v>45</v>
      </c>
      <c r="K7" s="5">
        <f>IFERROR(__xludf.DUMMYFUNCTION("""COMPUTED_VALUE"""),64.0)</f>
        <v>64</v>
      </c>
      <c r="M7" s="7" t="s">
        <v>29</v>
      </c>
      <c r="N7" s="5" t="s">
        <v>46</v>
      </c>
      <c r="O7" s="5" t="str">
        <f>IFERROR(__xludf.DUMMYFUNCTION("""COMPUTED_VALUE"""),"Rohan Mehta")</f>
        <v>Rohan Mehta</v>
      </c>
      <c r="P7" s="5" t="s">
        <v>47</v>
      </c>
      <c r="Q7" s="7">
        <v>0.0</v>
      </c>
      <c r="R7" s="7">
        <f>IFERROR(__xludf.DUMMYFUNCTION("""COMPUTED_VALUE"""),0.0)</f>
        <v>0</v>
      </c>
    </row>
    <row r="8">
      <c r="A8" s="5" t="s">
        <v>48</v>
      </c>
      <c r="B8" s="6">
        <v>46056.0</v>
      </c>
      <c r="C8" s="5" t="s">
        <v>49</v>
      </c>
      <c r="D8" s="5" t="str">
        <f t="shared" si="1"/>
        <v>Alpha Mart</v>
      </c>
      <c r="E8" s="5">
        <v>450000.0</v>
      </c>
      <c r="F8" s="5" t="s">
        <v>20</v>
      </c>
      <c r="G8" s="5">
        <f>IFERROR(__xludf.DUMMYFUNCTION("""COMPUTED_VALUE"""),5400.0)</f>
        <v>5400</v>
      </c>
      <c r="H8" s="5" t="s">
        <v>50</v>
      </c>
      <c r="I8" s="5" t="str">
        <f t="shared" si="2"/>
        <v>Chargeback</v>
      </c>
      <c r="J8" s="5" t="s">
        <v>51</v>
      </c>
      <c r="K8" s="5">
        <f>IFERROR(__xludf.DUMMYFUNCTION("""COMPUTED_VALUE"""),83.0)</f>
        <v>83</v>
      </c>
      <c r="L8" s="5" t="s">
        <v>23</v>
      </c>
      <c r="M8" s="5" t="s">
        <v>23</v>
      </c>
      <c r="N8" s="5" t="s">
        <v>52</v>
      </c>
      <c r="O8" s="5" t="str">
        <f>IFERROR(__xludf.DUMMYFUNCTION("""COMPUTED_VALUE"""),"Aisha Khan")</f>
        <v>Aisha Khan</v>
      </c>
      <c r="P8" s="5" t="s">
        <v>31</v>
      </c>
      <c r="Q8" s="7">
        <v>1.0</v>
      </c>
      <c r="R8" s="7">
        <f>IFERROR(__xludf.DUMMYFUNCTION("""COMPUTED_VALUE"""),1.0)</f>
        <v>1</v>
      </c>
    </row>
    <row r="9">
      <c r="A9" s="5" t="s">
        <v>53</v>
      </c>
      <c r="B9" s="6">
        <v>46084.0</v>
      </c>
      <c r="C9" s="5" t="s">
        <v>33</v>
      </c>
      <c r="D9" s="5" t="str">
        <f t="shared" si="1"/>
        <v>Beta Stores</v>
      </c>
      <c r="E9" s="5">
        <v>340000.0</v>
      </c>
      <c r="F9" s="5" t="s">
        <v>20</v>
      </c>
      <c r="G9" s="5">
        <f>IFERROR(__xludf.DUMMYFUNCTION("""COMPUTED_VALUE"""),4114.0)</f>
        <v>4114</v>
      </c>
      <c r="H9" s="5" t="s">
        <v>28</v>
      </c>
      <c r="I9" s="5" t="str">
        <f t="shared" si="2"/>
        <v>Captured</v>
      </c>
      <c r="J9" s="5">
        <v>59.0</v>
      </c>
      <c r="K9" s="5">
        <f>IFERROR(__xludf.DUMMYFUNCTION("""COMPUTED_VALUE"""),59.0)</f>
        <v>59</v>
      </c>
      <c r="M9" s="7" t="s">
        <v>29</v>
      </c>
      <c r="N9" s="5" t="s">
        <v>54</v>
      </c>
      <c r="O9" s="5" t="str">
        <f>IFERROR(__xludf.DUMMYFUNCTION("""COMPUTED_VALUE"""),"Rohan Mehta")</f>
        <v>Rohan Mehta</v>
      </c>
      <c r="P9" s="5" t="s">
        <v>25</v>
      </c>
      <c r="Q9" s="7">
        <v>0.0</v>
      </c>
      <c r="R9" s="7">
        <f>IFERROR(__xludf.DUMMYFUNCTION("""COMPUTED_VALUE"""),0.0)</f>
        <v>0</v>
      </c>
    </row>
    <row r="10">
      <c r="A10" s="5" t="s">
        <v>55</v>
      </c>
      <c r="B10" s="6">
        <v>46084.0</v>
      </c>
      <c r="C10" s="5" t="s">
        <v>43</v>
      </c>
      <c r="D10" s="5" t="str">
        <f t="shared" si="1"/>
        <v>Alpha Mart</v>
      </c>
      <c r="E10" s="5">
        <v>125000.0</v>
      </c>
      <c r="F10" s="5" t="s">
        <v>20</v>
      </c>
      <c r="G10" s="5">
        <f>IFERROR(__xludf.DUMMYFUNCTION("""COMPUTED_VALUE"""),1512.5)</f>
        <v>1512.5</v>
      </c>
      <c r="H10" s="5" t="s">
        <v>21</v>
      </c>
      <c r="I10" s="5" t="str">
        <f t="shared" si="2"/>
        <v>Captured</v>
      </c>
      <c r="J10" s="5">
        <v>46.0</v>
      </c>
      <c r="K10" s="5">
        <f>IFERROR(__xludf.DUMMYFUNCTION("""COMPUTED_VALUE"""),46.0)</f>
        <v>46</v>
      </c>
      <c r="L10" s="5" t="s">
        <v>23</v>
      </c>
      <c r="M10" s="5" t="s">
        <v>23</v>
      </c>
      <c r="N10" s="5" t="s">
        <v>30</v>
      </c>
      <c r="O10" s="5" t="str">
        <f>IFERROR(__xludf.DUMMYFUNCTION("""COMPUTED_VALUE"""),"Aisha Khan")</f>
        <v>Aisha Khan</v>
      </c>
      <c r="P10" s="5" t="s">
        <v>47</v>
      </c>
      <c r="Q10" s="7">
        <v>0.0</v>
      </c>
      <c r="R10" s="7">
        <f>IFERROR(__xludf.DUMMYFUNCTION("""COMPUTED_VALUE"""),0.0)</f>
        <v>0</v>
      </c>
    </row>
    <row r="11">
      <c r="A11" s="5" t="s">
        <v>56</v>
      </c>
      <c r="B11" s="6">
        <v>46084.0</v>
      </c>
      <c r="C11" s="5" t="s">
        <v>57</v>
      </c>
      <c r="D11" s="5" t="str">
        <f t="shared" si="1"/>
        <v>Beta Stores</v>
      </c>
      <c r="E11" s="5">
        <v>610000.0</v>
      </c>
      <c r="F11" s="5" t="s">
        <v>20</v>
      </c>
      <c r="G11" s="5">
        <f>IFERROR(__xludf.DUMMYFUNCTION("""COMPUTED_VALUE"""),7381.0)</f>
        <v>7381</v>
      </c>
      <c r="H11" s="5" t="s">
        <v>21</v>
      </c>
      <c r="I11" s="5" t="str">
        <f t="shared" si="2"/>
        <v>Captured</v>
      </c>
      <c r="J11" s="5" t="s">
        <v>58</v>
      </c>
      <c r="K11" s="5">
        <f>IFERROR(__xludf.DUMMYFUNCTION("""COMPUTED_VALUE"""),77.0)</f>
        <v>77</v>
      </c>
      <c r="M11" s="7" t="s">
        <v>29</v>
      </c>
      <c r="N11" s="5" t="s">
        <v>35</v>
      </c>
      <c r="O11" s="5" t="str">
        <f>IFERROR(__xludf.DUMMYFUNCTION("""COMPUTED_VALUE"""),"Rohan Mehta")</f>
        <v>Rohan Mehta</v>
      </c>
      <c r="P11" s="5" t="s">
        <v>31</v>
      </c>
      <c r="Q11" s="7">
        <v>0.0</v>
      </c>
      <c r="R11" s="7">
        <f>IFERROR(__xludf.DUMMYFUNCTION("""COMPUTED_VALUE"""),1.0)</f>
        <v>1</v>
      </c>
    </row>
    <row r="12">
      <c r="A12" s="5" t="s">
        <v>59</v>
      </c>
      <c r="B12" s="6">
        <v>46084.0</v>
      </c>
      <c r="C12" s="5" t="s">
        <v>49</v>
      </c>
      <c r="D12" s="5" t="str">
        <f t="shared" si="1"/>
        <v>Alpha Mart</v>
      </c>
      <c r="E12" s="5">
        <v>195000.0</v>
      </c>
      <c r="F12" s="5" t="s">
        <v>20</v>
      </c>
      <c r="G12" s="5">
        <f>IFERROR(__xludf.DUMMYFUNCTION("""COMPUTED_VALUE"""),2359.5)</f>
        <v>2359.5</v>
      </c>
      <c r="H12" s="5" t="s">
        <v>60</v>
      </c>
      <c r="I12" s="5" t="str">
        <f t="shared" si="2"/>
        <v>Failed E05 Timeout</v>
      </c>
      <c r="K12" s="7" t="str">
        <f>IFERROR(__xludf.DUMMYFUNCTION("""COMPUTED_VALUE"""),"MISSING")</f>
        <v>MISSING</v>
      </c>
      <c r="M12" s="7" t="s">
        <v>29</v>
      </c>
      <c r="N12" s="5" t="s">
        <v>61</v>
      </c>
      <c r="O12" s="5" t="str">
        <f>IFERROR(__xludf.DUMMYFUNCTION("""COMPUTED_VALUE"""),"Aisha Khan")</f>
        <v>Aisha Khan</v>
      </c>
      <c r="P12" s="5" t="s">
        <v>25</v>
      </c>
      <c r="Q12" s="7">
        <v>0.0</v>
      </c>
      <c r="R12" s="7">
        <f>IFERROR(__xludf.DUMMYFUNCTION("""COMPUTED_VALUE"""),1.0)</f>
        <v>1</v>
      </c>
    </row>
    <row r="13">
      <c r="A13" s="5" t="s">
        <v>62</v>
      </c>
      <c r="B13" s="6">
        <v>46115.0</v>
      </c>
      <c r="C13" s="5" t="s">
        <v>38</v>
      </c>
      <c r="D13" s="5" t="str">
        <f t="shared" si="1"/>
        <v>Beta Stores</v>
      </c>
      <c r="E13" s="5">
        <v>250000.0</v>
      </c>
      <c r="F13" s="5" t="s">
        <v>20</v>
      </c>
      <c r="G13" s="5">
        <f>IFERROR(__xludf.DUMMYFUNCTION("""COMPUTED_VALUE"""),3000.0)</f>
        <v>3000</v>
      </c>
      <c r="H13" s="5" t="s">
        <v>21</v>
      </c>
      <c r="I13" s="5" t="str">
        <f t="shared" si="2"/>
        <v>Captured</v>
      </c>
      <c r="J13" s="5" t="s">
        <v>63</v>
      </c>
      <c r="K13" s="5">
        <f>IFERROR(__xludf.DUMMYFUNCTION("""COMPUTED_VALUE"""),61.0)</f>
        <v>61</v>
      </c>
      <c r="L13" s="5" t="s">
        <v>23</v>
      </c>
      <c r="M13" s="5" t="s">
        <v>23</v>
      </c>
      <c r="N13" s="5" t="s">
        <v>64</v>
      </c>
      <c r="O13" s="5" t="str">
        <f>IFERROR(__xludf.DUMMYFUNCTION("""COMPUTED_VALUE"""),"Rohan Mehta")</f>
        <v>Rohan Mehta</v>
      </c>
      <c r="P13" s="5" t="s">
        <v>31</v>
      </c>
      <c r="Q13" s="7">
        <v>0.0</v>
      </c>
      <c r="R13" s="7">
        <f>IFERROR(__xludf.DUMMYFUNCTION("""COMPUTED_VALUE"""),0.0)</f>
        <v>0</v>
      </c>
    </row>
    <row r="14">
      <c r="A14" s="5" t="s">
        <v>65</v>
      </c>
      <c r="B14" s="6">
        <v>46115.0</v>
      </c>
      <c r="C14" s="5" t="s">
        <v>19</v>
      </c>
      <c r="D14" s="5" t="str">
        <f t="shared" si="1"/>
        <v>Alpha Mart</v>
      </c>
      <c r="E14" s="5">
        <v>310000.0</v>
      </c>
      <c r="F14" s="5" t="s">
        <v>20</v>
      </c>
      <c r="G14" s="5">
        <f>IFERROR(__xludf.DUMMYFUNCTION("""COMPUTED_VALUE"""),3720.0)</f>
        <v>3720</v>
      </c>
      <c r="H14" s="5" t="s">
        <v>21</v>
      </c>
      <c r="I14" s="5" t="str">
        <f t="shared" si="2"/>
        <v>Captured</v>
      </c>
      <c r="J14" s="5" t="s">
        <v>66</v>
      </c>
      <c r="K14" s="5">
        <f>IFERROR(__xludf.DUMMYFUNCTION("""COMPUTED_VALUE"""),54.0)</f>
        <v>54</v>
      </c>
      <c r="L14" s="5" t="s">
        <v>23</v>
      </c>
      <c r="M14" s="5" t="s">
        <v>23</v>
      </c>
      <c r="N14" s="5" t="s">
        <v>67</v>
      </c>
      <c r="O14" s="5" t="str">
        <f>IFERROR(__xludf.DUMMYFUNCTION("""COMPUTED_VALUE"""),"Aisha Khan")</f>
        <v>Aisha Khan</v>
      </c>
      <c r="P14" s="5" t="s">
        <v>25</v>
      </c>
      <c r="Q14" s="7">
        <v>0.0</v>
      </c>
      <c r="R14" s="7">
        <f>IFERROR(__xludf.DUMMYFUNCTION("""COMPUTED_VALUE"""),0.0)</f>
        <v>0</v>
      </c>
    </row>
    <row r="15">
      <c r="A15" s="5" t="s">
        <v>68</v>
      </c>
      <c r="B15" s="6">
        <v>46115.0</v>
      </c>
      <c r="C15" s="5" t="s">
        <v>38</v>
      </c>
      <c r="D15" s="5" t="str">
        <f t="shared" si="1"/>
        <v>Beta Stores</v>
      </c>
      <c r="E15" s="5">
        <v>470000.0</v>
      </c>
      <c r="F15" s="5" t="s">
        <v>20</v>
      </c>
      <c r="G15" s="5">
        <f>IFERROR(__xludf.DUMMYFUNCTION("""COMPUTED_VALUE"""),5640.0)</f>
        <v>5640</v>
      </c>
      <c r="H15" s="5" t="s">
        <v>21</v>
      </c>
      <c r="I15" s="5" t="str">
        <f t="shared" si="2"/>
        <v>Captured</v>
      </c>
      <c r="J15" s="5" t="s">
        <v>69</v>
      </c>
      <c r="K15" s="5">
        <f>IFERROR(__xludf.DUMMYFUNCTION("""COMPUTED_VALUE"""),73.0)</f>
        <v>73</v>
      </c>
      <c r="L15" s="5" t="s">
        <v>23</v>
      </c>
      <c r="M15" s="5" t="s">
        <v>23</v>
      </c>
      <c r="N15" s="5" t="s">
        <v>24</v>
      </c>
      <c r="O15" s="5" t="str">
        <f>IFERROR(__xludf.DUMMYFUNCTION("""COMPUTED_VALUE"""),"Rohan Mehta")</f>
        <v>Rohan Mehta</v>
      </c>
      <c r="P15" s="5" t="s">
        <v>36</v>
      </c>
      <c r="Q15" s="7">
        <v>1.0</v>
      </c>
      <c r="R15" s="7">
        <f>IFERROR(__xludf.DUMMYFUNCTION("""COMPUTED_VALUE"""),1.0)</f>
        <v>1</v>
      </c>
    </row>
    <row r="16">
      <c r="A16" s="5" t="s">
        <v>70</v>
      </c>
      <c r="B16" s="6">
        <v>46115.0</v>
      </c>
      <c r="C16" s="5" t="s">
        <v>43</v>
      </c>
      <c r="D16" s="5" t="str">
        <f t="shared" si="1"/>
        <v>Alpha Mart</v>
      </c>
      <c r="E16" s="5">
        <v>130000.0</v>
      </c>
      <c r="F16" s="5" t="s">
        <v>20</v>
      </c>
      <c r="G16" s="5">
        <f>IFERROR(__xludf.DUMMYFUNCTION("""COMPUTED_VALUE"""),1560.0)</f>
        <v>1560</v>
      </c>
      <c r="H16" s="5" t="s">
        <v>21</v>
      </c>
      <c r="I16" s="5" t="str">
        <f t="shared" si="2"/>
        <v>Captured</v>
      </c>
      <c r="J16" s="5" t="s">
        <v>71</v>
      </c>
      <c r="K16" s="5">
        <f>IFERROR(__xludf.DUMMYFUNCTION("""COMPUTED_VALUE"""),52.0)</f>
        <v>52</v>
      </c>
      <c r="M16" s="7" t="s">
        <v>29</v>
      </c>
      <c r="N16" s="5" t="s">
        <v>30</v>
      </c>
      <c r="O16" s="5" t="str">
        <f>IFERROR(__xludf.DUMMYFUNCTION("""COMPUTED_VALUE"""),"Aisha Khan")</f>
        <v>Aisha Khan</v>
      </c>
      <c r="P16" s="5" t="s">
        <v>31</v>
      </c>
      <c r="Q16" s="7">
        <v>0.0</v>
      </c>
      <c r="R16" s="7">
        <f>IFERROR(__xludf.DUMMYFUNCTION("""COMPUTED_VALUE"""),0.0)</f>
        <v>0</v>
      </c>
    </row>
    <row r="17">
      <c r="A17" s="5" t="s">
        <v>72</v>
      </c>
      <c r="B17" s="6">
        <v>46145.0</v>
      </c>
      <c r="C17" s="5" t="s">
        <v>38</v>
      </c>
      <c r="D17" s="5" t="str">
        <f t="shared" si="1"/>
        <v>Beta Stores</v>
      </c>
      <c r="E17" s="5">
        <v>220000.0</v>
      </c>
      <c r="F17" s="5" t="s">
        <v>20</v>
      </c>
      <c r="G17" s="5">
        <f>IFERROR(__xludf.DUMMYFUNCTION("""COMPUTED_VALUE"""),2596.0)</f>
        <v>2596</v>
      </c>
      <c r="H17" s="5" t="s">
        <v>73</v>
      </c>
      <c r="I17" s="5" t="str">
        <f t="shared" si="2"/>
        <v>Failed E05 Timeout</v>
      </c>
      <c r="J17" s="5" t="s">
        <v>74</v>
      </c>
      <c r="K17" s="5">
        <f>IFERROR(__xludf.DUMMYFUNCTION("""COMPUTED_VALUE"""),69.0)</f>
        <v>69</v>
      </c>
      <c r="M17" s="7" t="s">
        <v>29</v>
      </c>
      <c r="N17" s="5" t="s">
        <v>61</v>
      </c>
      <c r="O17" s="5" t="str">
        <f>IFERROR(__xludf.DUMMYFUNCTION("""COMPUTED_VALUE"""),"Rohan Mehta")</f>
        <v>Rohan Mehta</v>
      </c>
      <c r="P17" s="5" t="s">
        <v>31</v>
      </c>
      <c r="Q17" s="7">
        <v>0.0</v>
      </c>
      <c r="R17" s="7">
        <f>IFERROR(__xludf.DUMMYFUNCTION("""COMPUTED_VALUE"""),0.0)</f>
        <v>0</v>
      </c>
    </row>
    <row r="18">
      <c r="A18" s="5" t="s">
        <v>75</v>
      </c>
      <c r="B18" s="6">
        <v>46145.0</v>
      </c>
      <c r="C18" s="5" t="s">
        <v>38</v>
      </c>
      <c r="D18" s="5" t="str">
        <f t="shared" si="1"/>
        <v>Beta Stores</v>
      </c>
      <c r="E18" s="5">
        <v>180000.0</v>
      </c>
      <c r="F18" s="5" t="s">
        <v>20</v>
      </c>
      <c r="G18" s="5">
        <f>IFERROR(__xludf.DUMMYFUNCTION("""COMPUTED_VALUE"""),2124.0)</f>
        <v>2124</v>
      </c>
      <c r="H18" s="5" t="s">
        <v>76</v>
      </c>
      <c r="I18" s="5" t="str">
        <f t="shared" si="2"/>
        <v>Failed E05 Timeout</v>
      </c>
      <c r="J18" s="5" t="s">
        <v>77</v>
      </c>
      <c r="K18" s="5">
        <f>IFERROR(__xludf.DUMMYFUNCTION("""COMPUTED_VALUE"""),72.0)</f>
        <v>72</v>
      </c>
      <c r="L18" s="5" t="s">
        <v>40</v>
      </c>
      <c r="M18" s="5" t="s">
        <v>23</v>
      </c>
      <c r="N18" s="5" t="s">
        <v>61</v>
      </c>
      <c r="O18" s="5" t="str">
        <f>IFERROR(__xludf.DUMMYFUNCTION("""COMPUTED_VALUE"""),"Rohan Mehta")</f>
        <v>Rohan Mehta</v>
      </c>
      <c r="P18" s="5" t="s">
        <v>31</v>
      </c>
      <c r="Q18" s="7">
        <v>0.0</v>
      </c>
      <c r="R18" s="7">
        <f>IFERROR(__xludf.DUMMYFUNCTION("""COMPUTED_VALUE"""),1.0)</f>
        <v>1</v>
      </c>
    </row>
    <row r="19">
      <c r="A19" s="5" t="s">
        <v>78</v>
      </c>
      <c r="B19" s="6">
        <v>46145.0</v>
      </c>
      <c r="C19" s="5" t="s">
        <v>33</v>
      </c>
      <c r="D19" s="5" t="str">
        <f t="shared" si="1"/>
        <v>Beta Stores</v>
      </c>
      <c r="E19" s="5">
        <v>145000.0</v>
      </c>
      <c r="F19" s="5" t="s">
        <v>20</v>
      </c>
      <c r="G19" s="5">
        <f>IFERROR(__xludf.DUMMYFUNCTION("""COMPUTED_VALUE"""),1711.0)</f>
        <v>1711</v>
      </c>
      <c r="H19" s="5" t="s">
        <v>50</v>
      </c>
      <c r="I19" s="5" t="str">
        <f t="shared" si="2"/>
        <v>Chargeback</v>
      </c>
      <c r="J19" s="5" t="s">
        <v>79</v>
      </c>
      <c r="K19" s="5">
        <f>IFERROR(__xludf.DUMMYFUNCTION("""COMPUTED_VALUE"""),86.0)</f>
        <v>86</v>
      </c>
      <c r="L19" s="5" t="s">
        <v>23</v>
      </c>
      <c r="M19" s="5" t="s">
        <v>23</v>
      </c>
      <c r="N19" s="5" t="s">
        <v>61</v>
      </c>
      <c r="O19" s="5" t="str">
        <f>IFERROR(__xludf.DUMMYFUNCTION("""COMPUTED_VALUE"""),"Rohan Mehta")</f>
        <v>Rohan Mehta</v>
      </c>
      <c r="P19" s="5" t="s">
        <v>25</v>
      </c>
      <c r="Q19" s="7">
        <v>0.0</v>
      </c>
      <c r="R19" s="7">
        <f>IFERROR(__xludf.DUMMYFUNCTION("""COMPUTED_VALUE"""),1.0)</f>
        <v>1</v>
      </c>
    </row>
    <row r="20">
      <c r="A20" s="5" t="s">
        <v>80</v>
      </c>
      <c r="B20" s="6">
        <v>46145.0</v>
      </c>
      <c r="C20" s="5" t="s">
        <v>49</v>
      </c>
      <c r="D20" s="5" t="str">
        <f t="shared" si="1"/>
        <v>Alpha Mart</v>
      </c>
      <c r="E20" s="5">
        <v>260000.0</v>
      </c>
      <c r="F20" s="5" t="s">
        <v>20</v>
      </c>
      <c r="G20" s="5">
        <f>IFERROR(__xludf.DUMMYFUNCTION("""COMPUTED_VALUE"""),3068.0)</f>
        <v>3068</v>
      </c>
      <c r="H20" s="5" t="s">
        <v>76</v>
      </c>
      <c r="I20" s="5" t="str">
        <f t="shared" si="2"/>
        <v>Failed E05 Timeout</v>
      </c>
      <c r="J20" s="5" t="s">
        <v>81</v>
      </c>
      <c r="K20" s="5">
        <f>IFERROR(__xludf.DUMMYFUNCTION("""COMPUTED_VALUE"""),67.0)</f>
        <v>67</v>
      </c>
      <c r="L20" s="5" t="s">
        <v>40</v>
      </c>
      <c r="M20" s="5" t="s">
        <v>23</v>
      </c>
      <c r="N20" s="5" t="s">
        <v>61</v>
      </c>
      <c r="O20" s="5" t="str">
        <f>IFERROR(__xludf.DUMMYFUNCTION("""COMPUTED_VALUE"""),"Aisha Khan")</f>
        <v>Aisha Khan</v>
      </c>
      <c r="P20" s="5" t="s">
        <v>47</v>
      </c>
      <c r="Q20" s="7">
        <v>0.0</v>
      </c>
      <c r="R20" s="7">
        <f>IFERROR(__xludf.DUMMYFUNCTION("""COMPUTED_VALUE"""),0.0)</f>
        <v>0</v>
      </c>
    </row>
    <row r="21">
      <c r="A21" s="5" t="s">
        <v>82</v>
      </c>
      <c r="B21" s="6">
        <v>46145.0</v>
      </c>
      <c r="C21" s="5" t="s">
        <v>43</v>
      </c>
      <c r="D21" s="5" t="str">
        <f t="shared" si="1"/>
        <v>Alpha Mart</v>
      </c>
      <c r="E21" s="5">
        <v>520000.0</v>
      </c>
      <c r="F21" s="5" t="s">
        <v>20</v>
      </c>
      <c r="G21" s="5">
        <f>IFERROR(__xludf.DUMMYFUNCTION("""COMPUTED_VALUE"""),6136.0)</f>
        <v>6136</v>
      </c>
      <c r="H21" s="5" t="s">
        <v>28</v>
      </c>
      <c r="I21" s="5" t="str">
        <f t="shared" si="2"/>
        <v>Captured</v>
      </c>
      <c r="J21" s="5">
        <v>75.0</v>
      </c>
      <c r="K21" s="5">
        <f>IFERROR(__xludf.DUMMYFUNCTION("""COMPUTED_VALUE"""),75.0)</f>
        <v>75</v>
      </c>
      <c r="L21" s="5" t="s">
        <v>23</v>
      </c>
      <c r="M21" s="5" t="s">
        <v>23</v>
      </c>
      <c r="N21" s="5" t="s">
        <v>46</v>
      </c>
      <c r="O21" s="5" t="str">
        <f>IFERROR(__xludf.DUMMYFUNCTION("""COMPUTED_VALUE"""),"Aisha Khan")</f>
        <v>Aisha Khan</v>
      </c>
      <c r="P21" s="5" t="s">
        <v>25</v>
      </c>
      <c r="Q21" s="7">
        <v>1.0</v>
      </c>
      <c r="R21" s="7">
        <f>IFERROR(__xludf.DUMMYFUNCTION("""COMPUTED_VALUE"""),1.0)</f>
        <v>1</v>
      </c>
    </row>
    <row r="22">
      <c r="A22" s="5" t="s">
        <v>83</v>
      </c>
      <c r="B22" s="6">
        <v>46176.0</v>
      </c>
      <c r="C22" s="5" t="s">
        <v>84</v>
      </c>
      <c r="D22" s="5" t="str">
        <f t="shared" si="1"/>
        <v>Beta Stores</v>
      </c>
      <c r="E22" s="5">
        <v>330000.0</v>
      </c>
      <c r="F22" s="5" t="s">
        <v>20</v>
      </c>
      <c r="G22" s="5">
        <f>IFERROR(__xludf.DUMMYFUNCTION("""COMPUTED_VALUE"""),3927.0000000000005)</f>
        <v>3927</v>
      </c>
      <c r="H22" s="5" t="s">
        <v>21</v>
      </c>
      <c r="I22" s="5" t="str">
        <f t="shared" si="2"/>
        <v>Captured</v>
      </c>
      <c r="J22" s="5" t="s">
        <v>85</v>
      </c>
      <c r="K22" s="5">
        <f>IFERROR(__xludf.DUMMYFUNCTION("""COMPUTED_VALUE"""),63.0)</f>
        <v>63</v>
      </c>
      <c r="M22" s="7" t="s">
        <v>29</v>
      </c>
      <c r="N22" s="5" t="s">
        <v>52</v>
      </c>
      <c r="O22" s="5" t="str">
        <f>IFERROR(__xludf.DUMMYFUNCTION("""COMPUTED_VALUE"""),"Rohan Mehta")</f>
        <v>Rohan Mehta</v>
      </c>
      <c r="P22" s="5" t="s">
        <v>31</v>
      </c>
      <c r="Q22" s="7">
        <v>0.0</v>
      </c>
      <c r="R22" s="7">
        <f>IFERROR(__xludf.DUMMYFUNCTION("""COMPUTED_VALUE"""),0.0)</f>
        <v>0</v>
      </c>
    </row>
    <row r="23">
      <c r="A23" s="5" t="s">
        <v>86</v>
      </c>
      <c r="B23" s="6">
        <v>46176.0</v>
      </c>
      <c r="C23" s="5" t="s">
        <v>27</v>
      </c>
      <c r="D23" s="5" t="str">
        <f t="shared" si="1"/>
        <v>Alpha Mart</v>
      </c>
      <c r="E23" s="5">
        <v>410000.0</v>
      </c>
      <c r="F23" s="5" t="s">
        <v>20</v>
      </c>
      <c r="G23" s="5">
        <f>IFERROR(__xludf.DUMMYFUNCTION("""COMPUTED_VALUE"""),4879.0)</f>
        <v>4879</v>
      </c>
      <c r="H23" s="5" t="s">
        <v>21</v>
      </c>
      <c r="I23" s="5" t="str">
        <f t="shared" si="2"/>
        <v>Captured</v>
      </c>
      <c r="J23" s="5">
        <v>60.0</v>
      </c>
      <c r="K23" s="5">
        <f>IFERROR(__xludf.DUMMYFUNCTION("""COMPUTED_VALUE"""),60.0)</f>
        <v>60</v>
      </c>
      <c r="L23" s="5" t="s">
        <v>23</v>
      </c>
      <c r="M23" s="5" t="s">
        <v>23</v>
      </c>
      <c r="N23" s="5" t="s">
        <v>54</v>
      </c>
      <c r="O23" s="5" t="str">
        <f>IFERROR(__xludf.DUMMYFUNCTION("""COMPUTED_VALUE"""),"Aisha Khan")</f>
        <v>Aisha Khan</v>
      </c>
      <c r="P23" s="5" t="s">
        <v>25</v>
      </c>
      <c r="Q23" s="7">
        <v>0.0</v>
      </c>
      <c r="R23" s="7">
        <f>IFERROR(__xludf.DUMMYFUNCTION("""COMPUTED_VALUE"""),0.0)</f>
        <v>0</v>
      </c>
    </row>
    <row r="24">
      <c r="A24" s="5" t="s">
        <v>87</v>
      </c>
      <c r="B24" s="6">
        <v>46025.0</v>
      </c>
      <c r="C24" s="5" t="s">
        <v>88</v>
      </c>
      <c r="D24" s="5" t="str">
        <f t="shared" si="1"/>
        <v>City Pharma</v>
      </c>
      <c r="E24" s="5">
        <v>5200.0</v>
      </c>
      <c r="F24" s="5" t="s">
        <v>89</v>
      </c>
      <c r="G24" s="5">
        <f>IFERROR(__xludf.DUMMYFUNCTION("""COMPUTED_VALUE"""),5616.0)</f>
        <v>5616</v>
      </c>
      <c r="H24" s="5" t="s">
        <v>28</v>
      </c>
      <c r="I24" s="5" t="str">
        <f t="shared" si="2"/>
        <v>Captured</v>
      </c>
      <c r="J24" s="5">
        <v>42.0</v>
      </c>
      <c r="K24" s="5">
        <f>IFERROR(__xludf.DUMMYFUNCTION("""COMPUTED_VALUE"""),42.0)</f>
        <v>42</v>
      </c>
      <c r="L24" s="5" t="s">
        <v>90</v>
      </c>
      <c r="M24" s="5" t="s">
        <v>90</v>
      </c>
      <c r="N24" s="5" t="s">
        <v>35</v>
      </c>
      <c r="O24" s="5" t="str">
        <f>IFERROR(__xludf.DUMMYFUNCTION("""COMPUTED_VALUE"""),"Elena Rossi")</f>
        <v>Elena Rossi</v>
      </c>
      <c r="P24" s="5" t="s">
        <v>31</v>
      </c>
      <c r="Q24" s="7">
        <v>0.0</v>
      </c>
      <c r="R24" s="7">
        <f>IFERROR(__xludf.DUMMYFUNCTION("""COMPUTED_VALUE"""),0.0)</f>
        <v>0</v>
      </c>
    </row>
    <row r="25">
      <c r="A25" s="5" t="s">
        <v>91</v>
      </c>
      <c r="B25" s="6">
        <v>46056.0</v>
      </c>
      <c r="C25" s="5" t="s">
        <v>92</v>
      </c>
      <c r="D25" s="5" t="str">
        <f t="shared" si="1"/>
        <v>Eco Home</v>
      </c>
      <c r="E25" s="5">
        <v>6100.0</v>
      </c>
      <c r="F25" s="5" t="s">
        <v>89</v>
      </c>
      <c r="G25" s="5">
        <f>IFERROR(__xludf.DUMMYFUNCTION("""COMPUTED_VALUE"""),6649.000000000001)</f>
        <v>6649</v>
      </c>
      <c r="H25" s="5" t="s">
        <v>50</v>
      </c>
      <c r="I25" s="5" t="str">
        <f t="shared" si="2"/>
        <v>Chargeback</v>
      </c>
      <c r="J25" s="5" t="s">
        <v>93</v>
      </c>
      <c r="K25" s="5">
        <f>IFERROR(__xludf.DUMMYFUNCTION("""COMPUTED_VALUE"""),65.0)</f>
        <v>65</v>
      </c>
      <c r="L25" s="5" t="s">
        <v>90</v>
      </c>
      <c r="M25" s="5" t="s">
        <v>90</v>
      </c>
      <c r="N25" s="5" t="s">
        <v>41</v>
      </c>
      <c r="O25" s="5" t="str">
        <f>IFERROR(__xludf.DUMMYFUNCTION("""COMPUTED_VALUE"""),"Nina Weber")</f>
        <v>Nina Weber</v>
      </c>
      <c r="P25" s="5" t="s">
        <v>31</v>
      </c>
      <c r="Q25" s="7">
        <v>1.0</v>
      </c>
      <c r="R25" s="7">
        <f>IFERROR(__xludf.DUMMYFUNCTION("""COMPUTED_VALUE"""),1.0)</f>
        <v>1</v>
      </c>
    </row>
    <row r="26">
      <c r="A26" s="5" t="s">
        <v>94</v>
      </c>
      <c r="B26" s="6">
        <v>46084.0</v>
      </c>
      <c r="C26" s="5" t="s">
        <v>88</v>
      </c>
      <c r="D26" s="5" t="str">
        <f t="shared" si="1"/>
        <v>City Pharma</v>
      </c>
      <c r="E26" s="5">
        <v>2800.0</v>
      </c>
      <c r="F26" s="5" t="s">
        <v>89</v>
      </c>
      <c r="G26" s="5">
        <f>IFERROR(__xludf.DUMMYFUNCTION("""COMPUTED_VALUE"""),3024.0)</f>
        <v>3024</v>
      </c>
      <c r="H26" s="5" t="s">
        <v>21</v>
      </c>
      <c r="I26" s="5" t="str">
        <f t="shared" si="2"/>
        <v>Captured</v>
      </c>
      <c r="J26" s="5">
        <v>38.0</v>
      </c>
      <c r="K26" s="5">
        <f>IFERROR(__xludf.DUMMYFUNCTION("""COMPUTED_VALUE"""),38.0)</f>
        <v>38</v>
      </c>
      <c r="L26" s="5" t="s">
        <v>95</v>
      </c>
      <c r="M26" s="5" t="s">
        <v>90</v>
      </c>
      <c r="N26" s="5" t="s">
        <v>46</v>
      </c>
      <c r="O26" s="5" t="str">
        <f>IFERROR(__xludf.DUMMYFUNCTION("""COMPUTED_VALUE"""),"Elena Rossi")</f>
        <v>Elena Rossi</v>
      </c>
      <c r="P26" s="5" t="s">
        <v>47</v>
      </c>
      <c r="Q26" s="7">
        <v>0.0</v>
      </c>
      <c r="R26" s="7">
        <f>IFERROR(__xludf.DUMMYFUNCTION("""COMPUTED_VALUE"""),0.0)</f>
        <v>0</v>
      </c>
    </row>
    <row r="27">
      <c r="A27" s="5" t="s">
        <v>96</v>
      </c>
      <c r="B27" s="6">
        <v>46145.0</v>
      </c>
      <c r="C27" s="5" t="s">
        <v>92</v>
      </c>
      <c r="D27" s="5" t="str">
        <f t="shared" si="1"/>
        <v>Eco Home</v>
      </c>
      <c r="E27" s="5">
        <v>3300.0</v>
      </c>
      <c r="F27" s="5" t="s">
        <v>89</v>
      </c>
      <c r="G27" s="5">
        <f>IFERROR(__xludf.DUMMYFUNCTION("""COMPUTED_VALUE"""),3597.0000000000005)</f>
        <v>3597</v>
      </c>
      <c r="H27" s="5" t="s">
        <v>76</v>
      </c>
      <c r="I27" s="5" t="str">
        <f t="shared" si="2"/>
        <v>Failed E05 Timeout</v>
      </c>
      <c r="J27" s="5">
        <v>44.0</v>
      </c>
      <c r="K27" s="5">
        <f>IFERROR(__xludf.DUMMYFUNCTION("""COMPUTED_VALUE"""),44.0)</f>
        <v>44</v>
      </c>
      <c r="L27" s="5" t="s">
        <v>90</v>
      </c>
      <c r="M27" s="5" t="s">
        <v>90</v>
      </c>
      <c r="N27" s="5" t="s">
        <v>52</v>
      </c>
      <c r="O27" s="5" t="str">
        <f>IFERROR(__xludf.DUMMYFUNCTION("""COMPUTED_VALUE"""),"Nina Weber")</f>
        <v>Nina Weber</v>
      </c>
      <c r="P27" s="5" t="s">
        <v>36</v>
      </c>
      <c r="Q27" s="7">
        <v>0.0</v>
      </c>
      <c r="R27" s="7">
        <f>IFERROR(__xludf.DUMMYFUNCTION("""COMPUTED_VALUE"""),0.0)</f>
        <v>0</v>
      </c>
    </row>
    <row r="28">
      <c r="A28" s="5" t="s">
        <v>97</v>
      </c>
      <c r="B28" s="6">
        <v>46025.0</v>
      </c>
      <c r="C28" s="5" t="s">
        <v>98</v>
      </c>
      <c r="D28" s="5" t="str">
        <f t="shared" si="1"/>
        <v>Delta Travels</v>
      </c>
      <c r="E28" s="5">
        <v>7200.0</v>
      </c>
      <c r="F28" s="5" t="s">
        <v>99</v>
      </c>
      <c r="G28" s="5">
        <f>IFERROR(__xludf.DUMMYFUNCTION("""COMPUTED_VALUE"""),7200.0)</f>
        <v>7200</v>
      </c>
      <c r="H28" s="5" t="s">
        <v>21</v>
      </c>
      <c r="I28" s="5" t="str">
        <f t="shared" si="2"/>
        <v>Captured</v>
      </c>
      <c r="J28" s="5">
        <v>49.0</v>
      </c>
      <c r="K28" s="5">
        <f>IFERROR(__xludf.DUMMYFUNCTION("""COMPUTED_VALUE"""),49.0)</f>
        <v>49</v>
      </c>
      <c r="L28" s="5" t="s">
        <v>100</v>
      </c>
      <c r="M28" s="5" t="s">
        <v>101</v>
      </c>
      <c r="N28" s="5" t="s">
        <v>54</v>
      </c>
      <c r="O28" s="5" t="str">
        <f>IFERROR(__xludf.DUMMYFUNCTION("""COMPUTED_VALUE"""),"Marcus Lee")</f>
        <v>Marcus Lee</v>
      </c>
      <c r="P28" s="5" t="s">
        <v>31</v>
      </c>
      <c r="Q28" s="7">
        <v>1.0</v>
      </c>
      <c r="R28" s="7">
        <f>IFERROR(__xludf.DUMMYFUNCTION("""COMPUTED_VALUE"""),0.0)</f>
        <v>0</v>
      </c>
    </row>
    <row r="29">
      <c r="A29" s="5" t="s">
        <v>102</v>
      </c>
      <c r="B29" s="6">
        <v>46056.0</v>
      </c>
      <c r="C29" s="5" t="s">
        <v>103</v>
      </c>
      <c r="D29" s="5" t="str">
        <f t="shared" si="1"/>
        <v>Delta Travels</v>
      </c>
      <c r="E29" s="5">
        <v>3100.0</v>
      </c>
      <c r="F29" s="5" t="s">
        <v>99</v>
      </c>
      <c r="G29" s="5">
        <f>IFERROR(__xludf.DUMMYFUNCTION("""COMPUTED_VALUE"""),3100.0)</f>
        <v>3100</v>
      </c>
      <c r="H29" s="5" t="s">
        <v>34</v>
      </c>
      <c r="I29" s="5" t="str">
        <f t="shared" si="2"/>
        <v>Captured</v>
      </c>
      <c r="J29" s="5" t="s">
        <v>104</v>
      </c>
      <c r="K29" s="5">
        <f>IFERROR(__xludf.DUMMYFUNCTION("""COMPUTED_VALUE"""),41.0)</f>
        <v>41</v>
      </c>
      <c r="L29" s="5" t="s">
        <v>101</v>
      </c>
      <c r="M29" s="5" t="s">
        <v>101</v>
      </c>
      <c r="N29" s="5" t="s">
        <v>61</v>
      </c>
      <c r="O29" s="5" t="str">
        <f>IFERROR(__xludf.DUMMYFUNCTION("""COMPUTED_VALUE"""),"Marcus Lee")</f>
        <v>Marcus Lee</v>
      </c>
      <c r="P29" s="5" t="s">
        <v>31</v>
      </c>
      <c r="Q29" s="7">
        <v>0.0</v>
      </c>
      <c r="R29" s="7">
        <f>IFERROR(__xludf.DUMMYFUNCTION("""COMPUTED_VALUE"""),0.0)</f>
        <v>0</v>
      </c>
    </row>
    <row r="30">
      <c r="A30" s="5" t="s">
        <v>105</v>
      </c>
      <c r="B30" s="6">
        <v>46115.0</v>
      </c>
      <c r="C30" s="5" t="s">
        <v>106</v>
      </c>
      <c r="D30" s="5" t="str">
        <f t="shared" si="1"/>
        <v>Delta Travels</v>
      </c>
      <c r="E30" s="5">
        <v>2500.0</v>
      </c>
      <c r="F30" s="5" t="s">
        <v>99</v>
      </c>
      <c r="G30" s="5">
        <f>IFERROR(__xludf.DUMMYFUNCTION("""COMPUTED_VALUE"""),2500.0)</f>
        <v>2500</v>
      </c>
      <c r="H30" s="5" t="s">
        <v>50</v>
      </c>
      <c r="I30" s="5" t="str">
        <f t="shared" si="2"/>
        <v>Chargeback</v>
      </c>
      <c r="J30" s="5" t="s">
        <v>107</v>
      </c>
      <c r="K30" s="5">
        <f>IFERROR(__xludf.DUMMYFUNCTION("""COMPUTED_VALUE"""),58.0)</f>
        <v>58</v>
      </c>
      <c r="L30" s="5" t="s">
        <v>101</v>
      </c>
      <c r="M30" s="5" t="s">
        <v>101</v>
      </c>
      <c r="N30" s="5" t="s">
        <v>64</v>
      </c>
      <c r="O30" s="5" t="str">
        <f>IFERROR(__xludf.DUMMYFUNCTION("""COMPUTED_VALUE"""),"Marcus Lee")</f>
        <v>Marcus Lee</v>
      </c>
      <c r="P30" s="5" t="s">
        <v>47</v>
      </c>
      <c r="Q30" s="7">
        <v>0.0</v>
      </c>
      <c r="R30" s="7">
        <f>IFERROR(__xludf.DUMMYFUNCTION("""COMPUTED_VALUE"""),1.0)</f>
        <v>1</v>
      </c>
    </row>
    <row r="31">
      <c r="A31" s="5" t="s">
        <v>108</v>
      </c>
      <c r="B31" s="6">
        <v>46176.0</v>
      </c>
      <c r="C31" s="5" t="s">
        <v>98</v>
      </c>
      <c r="D31" s="5" t="str">
        <f t="shared" si="1"/>
        <v>Delta Travels</v>
      </c>
      <c r="E31" s="5">
        <v>1800.0</v>
      </c>
      <c r="F31" s="5" t="s">
        <v>99</v>
      </c>
      <c r="G31" s="5">
        <f>IFERROR(__xludf.DUMMYFUNCTION("""COMPUTED_VALUE"""),1800.0)</f>
        <v>1800</v>
      </c>
      <c r="H31" s="5" t="s">
        <v>76</v>
      </c>
      <c r="I31" s="5" t="str">
        <f t="shared" si="2"/>
        <v>Failed E05 Timeout</v>
      </c>
      <c r="J31" s="5" t="s">
        <v>109</v>
      </c>
      <c r="K31" s="5">
        <f>IFERROR(__xludf.DUMMYFUNCTION("""COMPUTED_VALUE"""),47.0)</f>
        <v>47</v>
      </c>
      <c r="L31" s="5" t="s">
        <v>101</v>
      </c>
      <c r="M31" s="5" t="s">
        <v>101</v>
      </c>
      <c r="N31" s="5" t="s">
        <v>67</v>
      </c>
      <c r="O31" s="5" t="str">
        <f>IFERROR(__xludf.DUMMYFUNCTION("""COMPUTED_VALUE"""),"Marcus Lee")</f>
        <v>Marcus Lee</v>
      </c>
      <c r="P31" s="5" t="s">
        <v>25</v>
      </c>
      <c r="Q31" s="7">
        <v>0.0</v>
      </c>
      <c r="R31" s="7">
        <f>IFERROR(__xludf.DUMMYFUNCTION("""COMPUTED_VALUE"""),0.0)</f>
        <v>0</v>
      </c>
    </row>
    <row r="32">
      <c r="B32" s="8"/>
      <c r="G32" s="7" t="str">
        <f>IFERROR(__xludf.DUMMYFUNCTION("""COMPUTED_VALUE"""),"")</f>
        <v/>
      </c>
      <c r="K32" s="7" t="str">
        <f>IFERROR(__xludf.DUMMYFUNCTION("""COMPUTED_VALUE"""),"")</f>
        <v/>
      </c>
      <c r="M32" s="7" t="s">
        <v>110</v>
      </c>
      <c r="O32" s="7" t="str">
        <f>IFERROR(__xludf.DUMMYFUNCTION("""COMPUTED_VALUE"""),"")</f>
        <v/>
      </c>
      <c r="Q32" s="7" t="s">
        <v>110</v>
      </c>
      <c r="R32" s="7" t="str">
        <f>IFERROR(__xludf.DUMMYFUNCTION("""COMPUTED_VALUE"""),"")</f>
        <v/>
      </c>
    </row>
    <row r="33">
      <c r="B33" s="8"/>
      <c r="G33" s="7" t="str">
        <f>IFERROR(__xludf.DUMMYFUNCTION("""COMPUTED_VALUE"""),"")</f>
        <v/>
      </c>
      <c r="K33" s="7" t="str">
        <f>IFERROR(__xludf.DUMMYFUNCTION("""COMPUTED_VALUE"""),"")</f>
        <v/>
      </c>
      <c r="M33" s="7" t="s">
        <v>110</v>
      </c>
      <c r="O33" s="7" t="str">
        <f>IFERROR(__xludf.DUMMYFUNCTION("""COMPUTED_VALUE"""),"")</f>
        <v/>
      </c>
      <c r="Q33" s="7" t="s">
        <v>110</v>
      </c>
      <c r="R33" s="7" t="str">
        <f>IFERROR(__xludf.DUMMYFUNCTION("""COMPUTED_VALUE"""),"")</f>
        <v/>
      </c>
    </row>
    <row r="34">
      <c r="B34" s="8"/>
      <c r="G34" s="7" t="str">
        <f>IFERROR(__xludf.DUMMYFUNCTION("""COMPUTED_VALUE"""),"")</f>
        <v/>
      </c>
      <c r="K34" s="7" t="str">
        <f>IFERROR(__xludf.DUMMYFUNCTION("""COMPUTED_VALUE"""),"")</f>
        <v/>
      </c>
      <c r="M34" s="7" t="s">
        <v>110</v>
      </c>
      <c r="O34" s="7" t="str">
        <f>IFERROR(__xludf.DUMMYFUNCTION("""COMPUTED_VALUE"""),"")</f>
        <v/>
      </c>
      <c r="Q34" s="7" t="s">
        <v>110</v>
      </c>
      <c r="R34" s="7" t="str">
        <f>IFERROR(__xludf.DUMMYFUNCTION("""COMPUTED_VALUE"""),"")</f>
        <v/>
      </c>
    </row>
    <row r="35">
      <c r="B35" s="8"/>
      <c r="G35" s="7" t="str">
        <f>IFERROR(__xludf.DUMMYFUNCTION("""COMPUTED_VALUE"""),"")</f>
        <v/>
      </c>
      <c r="K35" s="7" t="str">
        <f>IFERROR(__xludf.DUMMYFUNCTION("""COMPUTED_VALUE"""),"")</f>
        <v/>
      </c>
      <c r="M35" s="7" t="s">
        <v>110</v>
      </c>
      <c r="O35" s="7" t="str">
        <f>IFERROR(__xludf.DUMMYFUNCTION("""COMPUTED_VALUE"""),"")</f>
        <v/>
      </c>
      <c r="Q35" s="7" t="s">
        <v>110</v>
      </c>
      <c r="R35" s="7" t="str">
        <f>IFERROR(__xludf.DUMMYFUNCTION("""COMPUTED_VALUE"""),"")</f>
        <v/>
      </c>
    </row>
    <row r="36">
      <c r="B36" s="8"/>
      <c r="G36" s="7" t="str">
        <f>IFERROR(__xludf.DUMMYFUNCTION("""COMPUTED_VALUE"""),"")</f>
        <v/>
      </c>
      <c r="K36" s="7" t="str">
        <f>IFERROR(__xludf.DUMMYFUNCTION("""COMPUTED_VALUE"""),"")</f>
        <v/>
      </c>
      <c r="M36" s="7" t="s">
        <v>110</v>
      </c>
      <c r="O36" s="7" t="str">
        <f>IFERROR(__xludf.DUMMYFUNCTION("""COMPUTED_VALUE"""),"")</f>
        <v/>
      </c>
      <c r="Q36" s="7" t="s">
        <v>110</v>
      </c>
      <c r="R36" s="7" t="str">
        <f>IFERROR(__xludf.DUMMYFUNCTION("""COMPUTED_VALUE"""),"")</f>
        <v/>
      </c>
    </row>
    <row r="37">
      <c r="B37" s="8"/>
      <c r="G37" s="7" t="str">
        <f>IFERROR(__xludf.DUMMYFUNCTION("""COMPUTED_VALUE"""),"")</f>
        <v/>
      </c>
      <c r="K37" s="7" t="str">
        <f>IFERROR(__xludf.DUMMYFUNCTION("""COMPUTED_VALUE"""),"")</f>
        <v/>
      </c>
      <c r="M37" s="7" t="s">
        <v>110</v>
      </c>
      <c r="O37" s="7" t="str">
        <f>IFERROR(__xludf.DUMMYFUNCTION("""COMPUTED_VALUE"""),"")</f>
        <v/>
      </c>
      <c r="Q37" s="7" t="s">
        <v>110</v>
      </c>
      <c r="R37" s="7" t="str">
        <f>IFERROR(__xludf.DUMMYFUNCTION("""COMPUTED_VALUE"""),"")</f>
        <v/>
      </c>
    </row>
    <row r="38">
      <c r="B38" s="8"/>
      <c r="G38" s="7" t="str">
        <f>IFERROR(__xludf.DUMMYFUNCTION("""COMPUTED_VALUE"""),"")</f>
        <v/>
      </c>
      <c r="K38" s="7" t="str">
        <f>IFERROR(__xludf.DUMMYFUNCTION("""COMPUTED_VALUE"""),"")</f>
        <v/>
      </c>
      <c r="M38" s="7" t="s">
        <v>110</v>
      </c>
      <c r="O38" s="7" t="str">
        <f>IFERROR(__xludf.DUMMYFUNCTION("""COMPUTED_VALUE"""),"")</f>
        <v/>
      </c>
      <c r="Q38" s="7" t="s">
        <v>110</v>
      </c>
      <c r="R38" s="7" t="str">
        <f>IFERROR(__xludf.DUMMYFUNCTION("""COMPUTED_VALUE"""),"")</f>
        <v/>
      </c>
    </row>
    <row r="39">
      <c r="B39" s="8"/>
      <c r="G39" s="7" t="str">
        <f>IFERROR(__xludf.DUMMYFUNCTION("""COMPUTED_VALUE"""),"")</f>
        <v/>
      </c>
      <c r="K39" s="7" t="str">
        <f>IFERROR(__xludf.DUMMYFUNCTION("""COMPUTED_VALUE"""),"")</f>
        <v/>
      </c>
      <c r="M39" s="7" t="s">
        <v>110</v>
      </c>
      <c r="O39" s="7" t="str">
        <f>IFERROR(__xludf.DUMMYFUNCTION("""COMPUTED_VALUE"""),"")</f>
        <v/>
      </c>
      <c r="Q39" s="7" t="s">
        <v>110</v>
      </c>
      <c r="R39" s="7" t="str">
        <f>IFERROR(__xludf.DUMMYFUNCTION("""COMPUTED_VALUE"""),"")</f>
        <v/>
      </c>
    </row>
    <row r="40">
      <c r="B40" s="8"/>
      <c r="G40" s="7" t="str">
        <f>IFERROR(__xludf.DUMMYFUNCTION("""COMPUTED_VALUE"""),"")</f>
        <v/>
      </c>
      <c r="K40" s="7" t="str">
        <f>IFERROR(__xludf.DUMMYFUNCTION("""COMPUTED_VALUE"""),"")</f>
        <v/>
      </c>
      <c r="M40" s="7" t="s">
        <v>110</v>
      </c>
      <c r="O40" s="7" t="str">
        <f>IFERROR(__xludf.DUMMYFUNCTION("""COMPUTED_VALUE"""),"")</f>
        <v/>
      </c>
      <c r="Q40" s="7" t="s">
        <v>110</v>
      </c>
      <c r="R40" s="7" t="str">
        <f>IFERROR(__xludf.DUMMYFUNCTION("""COMPUTED_VALUE"""),"")</f>
        <v/>
      </c>
    </row>
    <row r="41">
      <c r="B41" s="8"/>
      <c r="G41" s="7" t="str">
        <f>IFERROR(__xludf.DUMMYFUNCTION("""COMPUTED_VALUE"""),"")</f>
        <v/>
      </c>
      <c r="K41" s="7" t="str">
        <f>IFERROR(__xludf.DUMMYFUNCTION("""COMPUTED_VALUE"""),"")</f>
        <v/>
      </c>
      <c r="M41" s="7" t="s">
        <v>110</v>
      </c>
      <c r="O41" s="7" t="str">
        <f>IFERROR(__xludf.DUMMYFUNCTION("""COMPUTED_VALUE"""),"")</f>
        <v/>
      </c>
      <c r="Q41" s="7" t="s">
        <v>110</v>
      </c>
      <c r="R41" s="7" t="str">
        <f>IFERROR(__xludf.DUMMYFUNCTION("""COMPUTED_VALUE"""),"")</f>
        <v/>
      </c>
    </row>
    <row r="42">
      <c r="B42" s="8"/>
      <c r="G42" s="7" t="str">
        <f>IFERROR(__xludf.DUMMYFUNCTION("""COMPUTED_VALUE"""),"")</f>
        <v/>
      </c>
      <c r="K42" s="7" t="str">
        <f>IFERROR(__xludf.DUMMYFUNCTION("""COMPUTED_VALUE"""),"")</f>
        <v/>
      </c>
      <c r="M42" s="7" t="s">
        <v>110</v>
      </c>
      <c r="O42" s="7" t="str">
        <f>IFERROR(__xludf.DUMMYFUNCTION("""COMPUTED_VALUE"""),"")</f>
        <v/>
      </c>
      <c r="Q42" s="7" t="s">
        <v>110</v>
      </c>
      <c r="R42" s="7" t="str">
        <f>IFERROR(__xludf.DUMMYFUNCTION("""COMPUTED_VALUE"""),"")</f>
        <v/>
      </c>
    </row>
    <row r="43">
      <c r="B43" s="8"/>
      <c r="G43" s="7" t="str">
        <f>IFERROR(__xludf.DUMMYFUNCTION("""COMPUTED_VALUE"""),"")</f>
        <v/>
      </c>
      <c r="K43" s="7" t="str">
        <f>IFERROR(__xludf.DUMMYFUNCTION("""COMPUTED_VALUE"""),"")</f>
        <v/>
      </c>
      <c r="M43" s="7" t="s">
        <v>110</v>
      </c>
      <c r="O43" s="7" t="str">
        <f>IFERROR(__xludf.DUMMYFUNCTION("""COMPUTED_VALUE"""),"")</f>
        <v/>
      </c>
      <c r="Q43" s="7" t="s">
        <v>110</v>
      </c>
      <c r="R43" s="7" t="str">
        <f>IFERROR(__xludf.DUMMYFUNCTION("""COMPUTED_VALUE"""),"")</f>
        <v/>
      </c>
    </row>
    <row r="44">
      <c r="B44" s="8"/>
      <c r="G44" s="7" t="str">
        <f>IFERROR(__xludf.DUMMYFUNCTION("""COMPUTED_VALUE"""),"")</f>
        <v/>
      </c>
      <c r="K44" s="7" t="str">
        <f>IFERROR(__xludf.DUMMYFUNCTION("""COMPUTED_VALUE"""),"")</f>
        <v/>
      </c>
      <c r="M44" s="7" t="s">
        <v>110</v>
      </c>
      <c r="O44" s="7" t="str">
        <f>IFERROR(__xludf.DUMMYFUNCTION("""COMPUTED_VALUE"""),"")</f>
        <v/>
      </c>
      <c r="Q44" s="7" t="s">
        <v>110</v>
      </c>
      <c r="R44" s="7" t="str">
        <f>IFERROR(__xludf.DUMMYFUNCTION("""COMPUTED_VALUE"""),"")</f>
        <v/>
      </c>
    </row>
    <row r="45">
      <c r="B45" s="8"/>
      <c r="G45" s="7" t="str">
        <f>IFERROR(__xludf.DUMMYFUNCTION("""COMPUTED_VALUE"""),"")</f>
        <v/>
      </c>
      <c r="K45" s="7" t="str">
        <f>IFERROR(__xludf.DUMMYFUNCTION("""COMPUTED_VALUE"""),"")</f>
        <v/>
      </c>
      <c r="M45" s="7" t="s">
        <v>110</v>
      </c>
      <c r="O45" s="7" t="str">
        <f>IFERROR(__xludf.DUMMYFUNCTION("""COMPUTED_VALUE"""),"")</f>
        <v/>
      </c>
      <c r="Q45" s="7" t="s">
        <v>110</v>
      </c>
      <c r="R45" s="7" t="str">
        <f>IFERROR(__xludf.DUMMYFUNCTION("""COMPUTED_VALUE"""),"")</f>
        <v/>
      </c>
    </row>
    <row r="46">
      <c r="B46" s="8"/>
      <c r="G46" s="7" t="str">
        <f>IFERROR(__xludf.DUMMYFUNCTION("""COMPUTED_VALUE"""),"")</f>
        <v/>
      </c>
      <c r="K46" s="7" t="str">
        <f>IFERROR(__xludf.DUMMYFUNCTION("""COMPUTED_VALUE"""),"")</f>
        <v/>
      </c>
      <c r="M46" s="7" t="s">
        <v>110</v>
      </c>
      <c r="O46" s="7" t="str">
        <f>IFERROR(__xludf.DUMMYFUNCTION("""COMPUTED_VALUE"""),"")</f>
        <v/>
      </c>
      <c r="Q46" s="7" t="s">
        <v>110</v>
      </c>
      <c r="R46" s="7" t="str">
        <f>IFERROR(__xludf.DUMMYFUNCTION("""COMPUTED_VALUE"""),"")</f>
        <v/>
      </c>
    </row>
    <row r="47">
      <c r="B47" s="8"/>
      <c r="G47" s="7" t="str">
        <f>IFERROR(__xludf.DUMMYFUNCTION("""COMPUTED_VALUE"""),"")</f>
        <v/>
      </c>
      <c r="K47" s="7" t="str">
        <f>IFERROR(__xludf.DUMMYFUNCTION("""COMPUTED_VALUE"""),"")</f>
        <v/>
      </c>
      <c r="M47" s="7" t="s">
        <v>110</v>
      </c>
      <c r="O47" s="7" t="str">
        <f>IFERROR(__xludf.DUMMYFUNCTION("""COMPUTED_VALUE"""),"")</f>
        <v/>
      </c>
      <c r="Q47" s="7" t="s">
        <v>110</v>
      </c>
      <c r="R47" s="7" t="str">
        <f>IFERROR(__xludf.DUMMYFUNCTION("""COMPUTED_VALUE"""),"")</f>
        <v/>
      </c>
    </row>
    <row r="48">
      <c r="B48" s="8"/>
      <c r="G48" s="7" t="str">
        <f>IFERROR(__xludf.DUMMYFUNCTION("""COMPUTED_VALUE"""),"")</f>
        <v/>
      </c>
      <c r="K48" s="7" t="str">
        <f>IFERROR(__xludf.DUMMYFUNCTION("""COMPUTED_VALUE"""),"")</f>
        <v/>
      </c>
      <c r="M48" s="7" t="s">
        <v>110</v>
      </c>
      <c r="O48" s="7" t="str">
        <f>IFERROR(__xludf.DUMMYFUNCTION("""COMPUTED_VALUE"""),"")</f>
        <v/>
      </c>
      <c r="Q48" s="7" t="s">
        <v>110</v>
      </c>
      <c r="R48" s="7" t="str">
        <f>IFERROR(__xludf.DUMMYFUNCTION("""COMPUTED_VALUE"""),"")</f>
        <v/>
      </c>
    </row>
    <row r="49">
      <c r="B49" s="8"/>
      <c r="G49" s="7" t="str">
        <f>IFERROR(__xludf.DUMMYFUNCTION("""COMPUTED_VALUE"""),"")</f>
        <v/>
      </c>
      <c r="K49" s="7" t="str">
        <f>IFERROR(__xludf.DUMMYFUNCTION("""COMPUTED_VALUE"""),"")</f>
        <v/>
      </c>
      <c r="M49" s="7" t="s">
        <v>110</v>
      </c>
      <c r="O49" s="7" t="str">
        <f>IFERROR(__xludf.DUMMYFUNCTION("""COMPUTED_VALUE"""),"")</f>
        <v/>
      </c>
      <c r="Q49" s="7" t="s">
        <v>110</v>
      </c>
      <c r="R49" s="7" t="str">
        <f>IFERROR(__xludf.DUMMYFUNCTION("""COMPUTED_VALUE"""),"")</f>
        <v/>
      </c>
    </row>
    <row r="50">
      <c r="B50" s="8"/>
      <c r="G50" s="7" t="str">
        <f>IFERROR(__xludf.DUMMYFUNCTION("""COMPUTED_VALUE"""),"")</f>
        <v/>
      </c>
      <c r="K50" s="7" t="str">
        <f>IFERROR(__xludf.DUMMYFUNCTION("""COMPUTED_VALUE"""),"")</f>
        <v/>
      </c>
      <c r="M50" s="7" t="s">
        <v>110</v>
      </c>
      <c r="O50" s="7" t="str">
        <f>IFERROR(__xludf.DUMMYFUNCTION("""COMPUTED_VALUE"""),"")</f>
        <v/>
      </c>
      <c r="Q50" s="7" t="s">
        <v>110</v>
      </c>
      <c r="R50" s="7" t="str">
        <f>IFERROR(__xludf.DUMMYFUNCTION("""COMPUTED_VALUE"""),"")</f>
        <v/>
      </c>
    </row>
    <row r="51">
      <c r="B51" s="8"/>
      <c r="G51" s="7" t="str">
        <f>IFERROR(__xludf.DUMMYFUNCTION("""COMPUTED_VALUE"""),"")</f>
        <v/>
      </c>
      <c r="K51" s="7" t="str">
        <f>IFERROR(__xludf.DUMMYFUNCTION("""COMPUTED_VALUE"""),"")</f>
        <v/>
      </c>
      <c r="M51" s="7" t="s">
        <v>110</v>
      </c>
      <c r="O51" s="7" t="str">
        <f>IFERROR(__xludf.DUMMYFUNCTION("""COMPUTED_VALUE"""),"")</f>
        <v/>
      </c>
      <c r="Q51" s="7" t="s">
        <v>110</v>
      </c>
      <c r="R51" s="7" t="str">
        <f>IFERROR(__xludf.DUMMYFUNCTION("""COMPUTED_VALUE"""),"")</f>
        <v/>
      </c>
    </row>
    <row r="52">
      <c r="B52" s="8"/>
      <c r="G52" s="7" t="str">
        <f>IFERROR(__xludf.DUMMYFUNCTION("""COMPUTED_VALUE"""),"")</f>
        <v/>
      </c>
      <c r="K52" s="7" t="str">
        <f>IFERROR(__xludf.DUMMYFUNCTION("""COMPUTED_VALUE"""),"")</f>
        <v/>
      </c>
      <c r="M52" s="7" t="s">
        <v>110</v>
      </c>
      <c r="O52" s="7" t="str">
        <f>IFERROR(__xludf.DUMMYFUNCTION("""COMPUTED_VALUE"""),"")</f>
        <v/>
      </c>
      <c r="Q52" s="7" t="s">
        <v>110</v>
      </c>
      <c r="R52" s="7" t="str">
        <f>IFERROR(__xludf.DUMMYFUNCTION("""COMPUTED_VALUE"""),"")</f>
        <v/>
      </c>
    </row>
    <row r="53">
      <c r="B53" s="8"/>
      <c r="G53" s="7" t="str">
        <f>IFERROR(__xludf.DUMMYFUNCTION("""COMPUTED_VALUE"""),"")</f>
        <v/>
      </c>
      <c r="K53" s="7" t="str">
        <f>IFERROR(__xludf.DUMMYFUNCTION("""COMPUTED_VALUE"""),"")</f>
        <v/>
      </c>
      <c r="M53" s="7" t="s">
        <v>110</v>
      </c>
      <c r="O53" s="7" t="str">
        <f>IFERROR(__xludf.DUMMYFUNCTION("""COMPUTED_VALUE"""),"")</f>
        <v/>
      </c>
      <c r="Q53" s="7" t="s">
        <v>110</v>
      </c>
      <c r="R53" s="7" t="str">
        <f>IFERROR(__xludf.DUMMYFUNCTION("""COMPUTED_VALUE"""),"")</f>
        <v/>
      </c>
    </row>
    <row r="54">
      <c r="B54" s="8"/>
      <c r="G54" s="7" t="str">
        <f>IFERROR(__xludf.DUMMYFUNCTION("""COMPUTED_VALUE"""),"")</f>
        <v/>
      </c>
      <c r="K54" s="7" t="str">
        <f>IFERROR(__xludf.DUMMYFUNCTION("""COMPUTED_VALUE"""),"")</f>
        <v/>
      </c>
      <c r="M54" s="7" t="s">
        <v>110</v>
      </c>
      <c r="O54" s="7" t="str">
        <f>IFERROR(__xludf.DUMMYFUNCTION("""COMPUTED_VALUE"""),"")</f>
        <v/>
      </c>
      <c r="Q54" s="7" t="s">
        <v>110</v>
      </c>
      <c r="R54" s="7" t="str">
        <f>IFERROR(__xludf.DUMMYFUNCTION("""COMPUTED_VALUE"""),"")</f>
        <v/>
      </c>
    </row>
    <row r="55">
      <c r="B55" s="8"/>
      <c r="G55" s="7" t="str">
        <f>IFERROR(__xludf.DUMMYFUNCTION("""COMPUTED_VALUE"""),"")</f>
        <v/>
      </c>
      <c r="K55" s="7" t="str">
        <f>IFERROR(__xludf.DUMMYFUNCTION("""COMPUTED_VALUE"""),"")</f>
        <v/>
      </c>
      <c r="M55" s="7" t="s">
        <v>110</v>
      </c>
      <c r="O55" s="7" t="str">
        <f>IFERROR(__xludf.DUMMYFUNCTION("""COMPUTED_VALUE"""),"")</f>
        <v/>
      </c>
      <c r="Q55" s="7" t="s">
        <v>110</v>
      </c>
      <c r="R55" s="7" t="str">
        <f>IFERROR(__xludf.DUMMYFUNCTION("""COMPUTED_VALUE"""),"")</f>
        <v/>
      </c>
    </row>
    <row r="56">
      <c r="B56" s="8"/>
      <c r="G56" s="7" t="str">
        <f>IFERROR(__xludf.DUMMYFUNCTION("""COMPUTED_VALUE"""),"")</f>
        <v/>
      </c>
      <c r="K56" s="7" t="str">
        <f>IFERROR(__xludf.DUMMYFUNCTION("""COMPUTED_VALUE"""),"")</f>
        <v/>
      </c>
      <c r="M56" s="7" t="s">
        <v>110</v>
      </c>
      <c r="O56" s="7" t="str">
        <f>IFERROR(__xludf.DUMMYFUNCTION("""COMPUTED_VALUE"""),"")</f>
        <v/>
      </c>
      <c r="Q56" s="7" t="s">
        <v>110</v>
      </c>
      <c r="R56" s="7" t="str">
        <f>IFERROR(__xludf.DUMMYFUNCTION("""COMPUTED_VALUE"""),"")</f>
        <v/>
      </c>
    </row>
    <row r="57">
      <c r="B57" s="8"/>
      <c r="G57" s="7" t="str">
        <f>IFERROR(__xludf.DUMMYFUNCTION("""COMPUTED_VALUE"""),"")</f>
        <v/>
      </c>
      <c r="K57" s="7" t="str">
        <f>IFERROR(__xludf.DUMMYFUNCTION("""COMPUTED_VALUE"""),"")</f>
        <v/>
      </c>
      <c r="M57" s="7" t="s">
        <v>110</v>
      </c>
      <c r="O57" s="7" t="str">
        <f>IFERROR(__xludf.DUMMYFUNCTION("""COMPUTED_VALUE"""),"")</f>
        <v/>
      </c>
      <c r="Q57" s="7" t="s">
        <v>110</v>
      </c>
      <c r="R57" s="7" t="str">
        <f>IFERROR(__xludf.DUMMYFUNCTION("""COMPUTED_VALUE"""),"")</f>
        <v/>
      </c>
    </row>
    <row r="58">
      <c r="B58" s="8"/>
      <c r="G58" s="7" t="str">
        <f>IFERROR(__xludf.DUMMYFUNCTION("""COMPUTED_VALUE"""),"")</f>
        <v/>
      </c>
      <c r="K58" s="7" t="str">
        <f>IFERROR(__xludf.DUMMYFUNCTION("""COMPUTED_VALUE"""),"")</f>
        <v/>
      </c>
      <c r="M58" s="7" t="s">
        <v>110</v>
      </c>
      <c r="O58" s="7" t="str">
        <f>IFERROR(__xludf.DUMMYFUNCTION("""COMPUTED_VALUE"""),"")</f>
        <v/>
      </c>
      <c r="Q58" s="7" t="s">
        <v>110</v>
      </c>
      <c r="R58" s="7" t="str">
        <f>IFERROR(__xludf.DUMMYFUNCTION("""COMPUTED_VALUE"""),"")</f>
        <v/>
      </c>
    </row>
    <row r="59">
      <c r="B59" s="8"/>
      <c r="G59" s="7" t="str">
        <f>IFERROR(__xludf.DUMMYFUNCTION("""COMPUTED_VALUE"""),"")</f>
        <v/>
      </c>
      <c r="K59" s="7" t="str">
        <f>IFERROR(__xludf.DUMMYFUNCTION("""COMPUTED_VALUE"""),"")</f>
        <v/>
      </c>
      <c r="M59" s="7" t="s">
        <v>110</v>
      </c>
      <c r="O59" s="7" t="str">
        <f>IFERROR(__xludf.DUMMYFUNCTION("""COMPUTED_VALUE"""),"")</f>
        <v/>
      </c>
      <c r="Q59" s="7" t="s">
        <v>110</v>
      </c>
      <c r="R59" s="7" t="str">
        <f>IFERROR(__xludf.DUMMYFUNCTION("""COMPUTED_VALUE"""),"")</f>
        <v/>
      </c>
    </row>
    <row r="60">
      <c r="B60" s="8"/>
      <c r="G60" s="7" t="str">
        <f>IFERROR(__xludf.DUMMYFUNCTION("""COMPUTED_VALUE"""),"")</f>
        <v/>
      </c>
      <c r="K60" s="7" t="str">
        <f>IFERROR(__xludf.DUMMYFUNCTION("""COMPUTED_VALUE"""),"")</f>
        <v/>
      </c>
      <c r="M60" s="7" t="s">
        <v>110</v>
      </c>
      <c r="O60" s="7" t="str">
        <f>IFERROR(__xludf.DUMMYFUNCTION("""COMPUTED_VALUE"""),"")</f>
        <v/>
      </c>
      <c r="Q60" s="7" t="s">
        <v>110</v>
      </c>
      <c r="R60" s="7" t="str">
        <f>IFERROR(__xludf.DUMMYFUNCTION("""COMPUTED_VALUE"""),"")</f>
        <v/>
      </c>
    </row>
    <row r="61">
      <c r="B61" s="8"/>
      <c r="G61" s="7" t="str">
        <f>IFERROR(__xludf.DUMMYFUNCTION("""COMPUTED_VALUE"""),"")</f>
        <v/>
      </c>
      <c r="K61" s="7" t="str">
        <f>IFERROR(__xludf.DUMMYFUNCTION("""COMPUTED_VALUE"""),"")</f>
        <v/>
      </c>
      <c r="M61" s="7" t="s">
        <v>110</v>
      </c>
      <c r="O61" s="7" t="str">
        <f>IFERROR(__xludf.DUMMYFUNCTION("""COMPUTED_VALUE"""),"")</f>
        <v/>
      </c>
      <c r="Q61" s="7" t="s">
        <v>110</v>
      </c>
      <c r="R61" s="7" t="str">
        <f>IFERROR(__xludf.DUMMYFUNCTION("""COMPUTED_VALUE"""),"")</f>
        <v/>
      </c>
    </row>
    <row r="62">
      <c r="B62" s="8"/>
      <c r="G62" s="7" t="str">
        <f>IFERROR(__xludf.DUMMYFUNCTION("""COMPUTED_VALUE"""),"")</f>
        <v/>
      </c>
      <c r="K62" s="7" t="str">
        <f>IFERROR(__xludf.DUMMYFUNCTION("""COMPUTED_VALUE"""),"")</f>
        <v/>
      </c>
      <c r="M62" s="7" t="s">
        <v>110</v>
      </c>
      <c r="O62" s="7" t="str">
        <f>IFERROR(__xludf.DUMMYFUNCTION("""COMPUTED_VALUE"""),"")</f>
        <v/>
      </c>
      <c r="Q62" s="7" t="s">
        <v>110</v>
      </c>
      <c r="R62" s="7" t="str">
        <f>IFERROR(__xludf.DUMMYFUNCTION("""COMPUTED_VALUE"""),"")</f>
        <v/>
      </c>
    </row>
    <row r="63">
      <c r="B63" s="8"/>
      <c r="G63" s="7" t="str">
        <f>IFERROR(__xludf.DUMMYFUNCTION("""COMPUTED_VALUE"""),"")</f>
        <v/>
      </c>
      <c r="K63" s="7" t="str">
        <f>IFERROR(__xludf.DUMMYFUNCTION("""COMPUTED_VALUE"""),"")</f>
        <v/>
      </c>
      <c r="M63" s="7" t="s">
        <v>110</v>
      </c>
      <c r="O63" s="7" t="str">
        <f>IFERROR(__xludf.DUMMYFUNCTION("""COMPUTED_VALUE"""),"")</f>
        <v/>
      </c>
      <c r="Q63" s="7" t="s">
        <v>110</v>
      </c>
      <c r="R63" s="7" t="str">
        <f>IFERROR(__xludf.DUMMYFUNCTION("""COMPUTED_VALUE"""),"")</f>
        <v/>
      </c>
    </row>
    <row r="64">
      <c r="B64" s="8"/>
      <c r="G64" s="7" t="str">
        <f>IFERROR(__xludf.DUMMYFUNCTION("""COMPUTED_VALUE"""),"")</f>
        <v/>
      </c>
      <c r="K64" s="7" t="str">
        <f>IFERROR(__xludf.DUMMYFUNCTION("""COMPUTED_VALUE"""),"")</f>
        <v/>
      </c>
      <c r="M64" s="7" t="s">
        <v>110</v>
      </c>
      <c r="O64" s="7" t="str">
        <f>IFERROR(__xludf.DUMMYFUNCTION("""COMPUTED_VALUE"""),"")</f>
        <v/>
      </c>
      <c r="Q64" s="7" t="s">
        <v>110</v>
      </c>
      <c r="R64" s="7" t="str">
        <f>IFERROR(__xludf.DUMMYFUNCTION("""COMPUTED_VALUE"""),"")</f>
        <v/>
      </c>
    </row>
    <row r="65">
      <c r="B65" s="8"/>
      <c r="G65" s="7" t="str">
        <f>IFERROR(__xludf.DUMMYFUNCTION("""COMPUTED_VALUE"""),"")</f>
        <v/>
      </c>
      <c r="K65" s="7" t="str">
        <f>IFERROR(__xludf.DUMMYFUNCTION("""COMPUTED_VALUE"""),"")</f>
        <v/>
      </c>
      <c r="M65" s="7" t="s">
        <v>110</v>
      </c>
      <c r="O65" s="7" t="str">
        <f>IFERROR(__xludf.DUMMYFUNCTION("""COMPUTED_VALUE"""),"")</f>
        <v/>
      </c>
      <c r="Q65" s="7" t="s">
        <v>110</v>
      </c>
      <c r="R65" s="7" t="str">
        <f>IFERROR(__xludf.DUMMYFUNCTION("""COMPUTED_VALUE"""),"")</f>
        <v/>
      </c>
    </row>
    <row r="66">
      <c r="B66" s="8"/>
      <c r="G66" s="7" t="str">
        <f>IFERROR(__xludf.DUMMYFUNCTION("""COMPUTED_VALUE"""),"")</f>
        <v/>
      </c>
      <c r="K66" s="7" t="str">
        <f>IFERROR(__xludf.DUMMYFUNCTION("""COMPUTED_VALUE"""),"")</f>
        <v/>
      </c>
      <c r="M66" s="7" t="s">
        <v>110</v>
      </c>
      <c r="O66" s="7" t="str">
        <f>IFERROR(__xludf.DUMMYFUNCTION("""COMPUTED_VALUE"""),"")</f>
        <v/>
      </c>
      <c r="Q66" s="7" t="s">
        <v>110</v>
      </c>
      <c r="R66" s="7" t="str">
        <f>IFERROR(__xludf.DUMMYFUNCTION("""COMPUTED_VALUE"""),"")</f>
        <v/>
      </c>
    </row>
    <row r="67">
      <c r="B67" s="8"/>
      <c r="G67" s="7" t="str">
        <f>IFERROR(__xludf.DUMMYFUNCTION("""COMPUTED_VALUE"""),"")</f>
        <v/>
      </c>
      <c r="K67" s="7" t="str">
        <f>IFERROR(__xludf.DUMMYFUNCTION("""COMPUTED_VALUE"""),"")</f>
        <v/>
      </c>
      <c r="M67" s="7" t="s">
        <v>110</v>
      </c>
      <c r="O67" s="7" t="str">
        <f>IFERROR(__xludf.DUMMYFUNCTION("""COMPUTED_VALUE"""),"")</f>
        <v/>
      </c>
      <c r="Q67" s="7" t="s">
        <v>110</v>
      </c>
      <c r="R67" s="7" t="str">
        <f>IFERROR(__xludf.DUMMYFUNCTION("""COMPUTED_VALUE"""),"")</f>
        <v/>
      </c>
    </row>
    <row r="68">
      <c r="B68" s="8"/>
      <c r="G68" s="7" t="str">
        <f>IFERROR(__xludf.DUMMYFUNCTION("""COMPUTED_VALUE"""),"")</f>
        <v/>
      </c>
      <c r="K68" s="7" t="str">
        <f>IFERROR(__xludf.DUMMYFUNCTION("""COMPUTED_VALUE"""),"")</f>
        <v/>
      </c>
      <c r="M68" s="7" t="s">
        <v>110</v>
      </c>
      <c r="O68" s="7" t="str">
        <f>IFERROR(__xludf.DUMMYFUNCTION("""COMPUTED_VALUE"""),"")</f>
        <v/>
      </c>
      <c r="Q68" s="7" t="s">
        <v>110</v>
      </c>
      <c r="R68" s="7" t="str">
        <f>IFERROR(__xludf.DUMMYFUNCTION("""COMPUTED_VALUE"""),"")</f>
        <v/>
      </c>
    </row>
    <row r="69">
      <c r="B69" s="8"/>
      <c r="G69" s="7" t="str">
        <f>IFERROR(__xludf.DUMMYFUNCTION("""COMPUTED_VALUE"""),"")</f>
        <v/>
      </c>
      <c r="K69" s="7" t="str">
        <f>IFERROR(__xludf.DUMMYFUNCTION("""COMPUTED_VALUE"""),"")</f>
        <v/>
      </c>
      <c r="M69" s="7" t="s">
        <v>110</v>
      </c>
      <c r="O69" s="7" t="str">
        <f>IFERROR(__xludf.DUMMYFUNCTION("""COMPUTED_VALUE"""),"")</f>
        <v/>
      </c>
      <c r="Q69" s="7" t="s">
        <v>110</v>
      </c>
      <c r="R69" s="7" t="str">
        <f>IFERROR(__xludf.DUMMYFUNCTION("""COMPUTED_VALUE"""),"")</f>
        <v/>
      </c>
    </row>
    <row r="70">
      <c r="B70" s="8"/>
      <c r="G70" s="7" t="str">
        <f>IFERROR(__xludf.DUMMYFUNCTION("""COMPUTED_VALUE"""),"")</f>
        <v/>
      </c>
      <c r="K70" s="7" t="str">
        <f>IFERROR(__xludf.DUMMYFUNCTION("""COMPUTED_VALUE"""),"")</f>
        <v/>
      </c>
      <c r="M70" s="7" t="s">
        <v>110</v>
      </c>
      <c r="O70" s="7" t="str">
        <f>IFERROR(__xludf.DUMMYFUNCTION("""COMPUTED_VALUE"""),"")</f>
        <v/>
      </c>
      <c r="Q70" s="7" t="s">
        <v>110</v>
      </c>
      <c r="R70" s="7" t="str">
        <f>IFERROR(__xludf.DUMMYFUNCTION("""COMPUTED_VALUE"""),"")</f>
        <v/>
      </c>
    </row>
    <row r="71">
      <c r="B71" s="8"/>
      <c r="G71" s="7" t="str">
        <f>IFERROR(__xludf.DUMMYFUNCTION("""COMPUTED_VALUE"""),"")</f>
        <v/>
      </c>
      <c r="K71" s="7" t="str">
        <f>IFERROR(__xludf.DUMMYFUNCTION("""COMPUTED_VALUE"""),"")</f>
        <v/>
      </c>
      <c r="M71" s="7" t="s">
        <v>110</v>
      </c>
      <c r="O71" s="7" t="str">
        <f>IFERROR(__xludf.DUMMYFUNCTION("""COMPUTED_VALUE"""),"")</f>
        <v/>
      </c>
      <c r="Q71" s="7" t="s">
        <v>110</v>
      </c>
      <c r="R71" s="7" t="str">
        <f>IFERROR(__xludf.DUMMYFUNCTION("""COMPUTED_VALUE"""),"")</f>
        <v/>
      </c>
    </row>
    <row r="72">
      <c r="B72" s="8"/>
      <c r="G72" s="7" t="str">
        <f>IFERROR(__xludf.DUMMYFUNCTION("""COMPUTED_VALUE"""),"")</f>
        <v/>
      </c>
      <c r="K72" s="7" t="str">
        <f>IFERROR(__xludf.DUMMYFUNCTION("""COMPUTED_VALUE"""),"")</f>
        <v/>
      </c>
      <c r="M72" s="7" t="s">
        <v>110</v>
      </c>
      <c r="O72" s="7" t="str">
        <f>IFERROR(__xludf.DUMMYFUNCTION("""COMPUTED_VALUE"""),"")</f>
        <v/>
      </c>
      <c r="Q72" s="7" t="s">
        <v>110</v>
      </c>
      <c r="R72" s="7" t="str">
        <f>IFERROR(__xludf.DUMMYFUNCTION("""COMPUTED_VALUE"""),"")</f>
        <v/>
      </c>
    </row>
    <row r="73">
      <c r="B73" s="8"/>
      <c r="G73" s="7" t="str">
        <f>IFERROR(__xludf.DUMMYFUNCTION("""COMPUTED_VALUE"""),"")</f>
        <v/>
      </c>
      <c r="K73" s="7" t="str">
        <f>IFERROR(__xludf.DUMMYFUNCTION("""COMPUTED_VALUE"""),"")</f>
        <v/>
      </c>
      <c r="M73" s="7" t="s">
        <v>110</v>
      </c>
      <c r="O73" s="7" t="str">
        <f>IFERROR(__xludf.DUMMYFUNCTION("""COMPUTED_VALUE"""),"")</f>
        <v/>
      </c>
      <c r="Q73" s="7" t="s">
        <v>110</v>
      </c>
      <c r="R73" s="7" t="str">
        <f>IFERROR(__xludf.DUMMYFUNCTION("""COMPUTED_VALUE"""),"")</f>
        <v/>
      </c>
    </row>
    <row r="74">
      <c r="B74" s="8"/>
      <c r="G74" s="7" t="str">
        <f>IFERROR(__xludf.DUMMYFUNCTION("""COMPUTED_VALUE"""),"")</f>
        <v/>
      </c>
      <c r="K74" s="7" t="str">
        <f>IFERROR(__xludf.DUMMYFUNCTION("""COMPUTED_VALUE"""),"")</f>
        <v/>
      </c>
      <c r="M74" s="7" t="s">
        <v>110</v>
      </c>
      <c r="O74" s="7" t="str">
        <f>IFERROR(__xludf.DUMMYFUNCTION("""COMPUTED_VALUE"""),"")</f>
        <v/>
      </c>
      <c r="Q74" s="7" t="s">
        <v>110</v>
      </c>
      <c r="R74" s="7" t="str">
        <f>IFERROR(__xludf.DUMMYFUNCTION("""COMPUTED_VALUE"""),"")</f>
        <v/>
      </c>
    </row>
    <row r="75">
      <c r="B75" s="8"/>
      <c r="G75" s="7" t="str">
        <f>IFERROR(__xludf.DUMMYFUNCTION("""COMPUTED_VALUE"""),"")</f>
        <v/>
      </c>
      <c r="K75" s="7" t="str">
        <f>IFERROR(__xludf.DUMMYFUNCTION("""COMPUTED_VALUE"""),"")</f>
        <v/>
      </c>
      <c r="M75" s="7" t="s">
        <v>110</v>
      </c>
      <c r="O75" s="7" t="str">
        <f>IFERROR(__xludf.DUMMYFUNCTION("""COMPUTED_VALUE"""),"")</f>
        <v/>
      </c>
      <c r="Q75" s="7" t="s">
        <v>110</v>
      </c>
      <c r="R75" s="7" t="str">
        <f>IFERROR(__xludf.DUMMYFUNCTION("""COMPUTED_VALUE"""),"")</f>
        <v/>
      </c>
    </row>
    <row r="76">
      <c r="B76" s="8"/>
      <c r="G76" s="7" t="str">
        <f>IFERROR(__xludf.DUMMYFUNCTION("""COMPUTED_VALUE"""),"")</f>
        <v/>
      </c>
      <c r="K76" s="7" t="str">
        <f>IFERROR(__xludf.DUMMYFUNCTION("""COMPUTED_VALUE"""),"")</f>
        <v/>
      </c>
      <c r="M76" s="7" t="s">
        <v>110</v>
      </c>
      <c r="O76" s="7" t="str">
        <f>IFERROR(__xludf.DUMMYFUNCTION("""COMPUTED_VALUE"""),"")</f>
        <v/>
      </c>
      <c r="Q76" s="7" t="s">
        <v>110</v>
      </c>
      <c r="R76" s="7" t="str">
        <f>IFERROR(__xludf.DUMMYFUNCTION("""COMPUTED_VALUE"""),"")</f>
        <v/>
      </c>
    </row>
    <row r="77">
      <c r="B77" s="8"/>
      <c r="G77" s="7" t="str">
        <f>IFERROR(__xludf.DUMMYFUNCTION("""COMPUTED_VALUE"""),"")</f>
        <v/>
      </c>
      <c r="K77" s="7" t="str">
        <f>IFERROR(__xludf.DUMMYFUNCTION("""COMPUTED_VALUE"""),"")</f>
        <v/>
      </c>
      <c r="M77" s="7" t="s">
        <v>110</v>
      </c>
      <c r="O77" s="7" t="str">
        <f>IFERROR(__xludf.DUMMYFUNCTION("""COMPUTED_VALUE"""),"")</f>
        <v/>
      </c>
      <c r="Q77" s="7" t="s">
        <v>110</v>
      </c>
      <c r="R77" s="7" t="str">
        <f>IFERROR(__xludf.DUMMYFUNCTION("""COMPUTED_VALUE"""),"")</f>
        <v/>
      </c>
    </row>
    <row r="78">
      <c r="B78" s="8"/>
      <c r="G78" s="7" t="str">
        <f>IFERROR(__xludf.DUMMYFUNCTION("""COMPUTED_VALUE"""),"")</f>
        <v/>
      </c>
      <c r="K78" s="7" t="str">
        <f>IFERROR(__xludf.DUMMYFUNCTION("""COMPUTED_VALUE"""),"")</f>
        <v/>
      </c>
      <c r="M78" s="7" t="s">
        <v>110</v>
      </c>
      <c r="O78" s="7" t="str">
        <f>IFERROR(__xludf.DUMMYFUNCTION("""COMPUTED_VALUE"""),"")</f>
        <v/>
      </c>
      <c r="Q78" s="7" t="s">
        <v>110</v>
      </c>
      <c r="R78" s="7" t="str">
        <f>IFERROR(__xludf.DUMMYFUNCTION("""COMPUTED_VALUE"""),"")</f>
        <v/>
      </c>
    </row>
    <row r="79">
      <c r="B79" s="8"/>
      <c r="G79" s="7" t="str">
        <f>IFERROR(__xludf.DUMMYFUNCTION("""COMPUTED_VALUE"""),"")</f>
        <v/>
      </c>
      <c r="K79" s="7" t="str">
        <f>IFERROR(__xludf.DUMMYFUNCTION("""COMPUTED_VALUE"""),"")</f>
        <v/>
      </c>
      <c r="M79" s="7" t="s">
        <v>110</v>
      </c>
      <c r="O79" s="7" t="str">
        <f>IFERROR(__xludf.DUMMYFUNCTION("""COMPUTED_VALUE"""),"")</f>
        <v/>
      </c>
      <c r="Q79" s="7" t="s">
        <v>110</v>
      </c>
      <c r="R79" s="7" t="str">
        <f>IFERROR(__xludf.DUMMYFUNCTION("""COMPUTED_VALUE"""),"")</f>
        <v/>
      </c>
    </row>
    <row r="80">
      <c r="B80" s="8"/>
      <c r="G80" s="7" t="str">
        <f>IFERROR(__xludf.DUMMYFUNCTION("""COMPUTED_VALUE"""),"")</f>
        <v/>
      </c>
      <c r="K80" s="7" t="str">
        <f>IFERROR(__xludf.DUMMYFUNCTION("""COMPUTED_VALUE"""),"")</f>
        <v/>
      </c>
      <c r="M80" s="7" t="s">
        <v>110</v>
      </c>
      <c r="O80" s="7" t="str">
        <f>IFERROR(__xludf.DUMMYFUNCTION("""COMPUTED_VALUE"""),"")</f>
        <v/>
      </c>
      <c r="Q80" s="7" t="s">
        <v>110</v>
      </c>
      <c r="R80" s="7" t="str">
        <f>IFERROR(__xludf.DUMMYFUNCTION("""COMPUTED_VALUE"""),"")</f>
        <v/>
      </c>
    </row>
    <row r="81">
      <c r="B81" s="8"/>
      <c r="G81" s="7" t="str">
        <f>IFERROR(__xludf.DUMMYFUNCTION("""COMPUTED_VALUE"""),"")</f>
        <v/>
      </c>
      <c r="K81" s="7" t="str">
        <f>IFERROR(__xludf.DUMMYFUNCTION("""COMPUTED_VALUE"""),"")</f>
        <v/>
      </c>
      <c r="M81" s="7" t="s">
        <v>110</v>
      </c>
      <c r="O81" s="7" t="str">
        <f>IFERROR(__xludf.DUMMYFUNCTION("""COMPUTED_VALUE"""),"")</f>
        <v/>
      </c>
      <c r="Q81" s="7" t="s">
        <v>110</v>
      </c>
      <c r="R81" s="7" t="str">
        <f>IFERROR(__xludf.DUMMYFUNCTION("""COMPUTED_VALUE"""),"")</f>
        <v/>
      </c>
    </row>
    <row r="82">
      <c r="B82" s="8"/>
      <c r="G82" s="7" t="str">
        <f>IFERROR(__xludf.DUMMYFUNCTION("""COMPUTED_VALUE"""),"")</f>
        <v/>
      </c>
      <c r="K82" s="7" t="str">
        <f>IFERROR(__xludf.DUMMYFUNCTION("""COMPUTED_VALUE"""),"")</f>
        <v/>
      </c>
      <c r="M82" s="7" t="s">
        <v>110</v>
      </c>
      <c r="O82" s="7" t="str">
        <f>IFERROR(__xludf.DUMMYFUNCTION("""COMPUTED_VALUE"""),"")</f>
        <v/>
      </c>
      <c r="Q82" s="7" t="s">
        <v>110</v>
      </c>
      <c r="R82" s="7" t="str">
        <f>IFERROR(__xludf.DUMMYFUNCTION("""COMPUTED_VALUE"""),"")</f>
        <v/>
      </c>
    </row>
    <row r="83">
      <c r="B83" s="8"/>
      <c r="G83" s="7" t="str">
        <f>IFERROR(__xludf.DUMMYFUNCTION("""COMPUTED_VALUE"""),"")</f>
        <v/>
      </c>
      <c r="K83" s="7" t="str">
        <f>IFERROR(__xludf.DUMMYFUNCTION("""COMPUTED_VALUE"""),"")</f>
        <v/>
      </c>
      <c r="M83" s="7" t="s">
        <v>110</v>
      </c>
      <c r="O83" s="7" t="str">
        <f>IFERROR(__xludf.DUMMYFUNCTION("""COMPUTED_VALUE"""),"")</f>
        <v/>
      </c>
      <c r="Q83" s="7" t="s">
        <v>110</v>
      </c>
      <c r="R83" s="7" t="str">
        <f>IFERROR(__xludf.DUMMYFUNCTION("""COMPUTED_VALUE"""),"")</f>
        <v/>
      </c>
    </row>
    <row r="84">
      <c r="B84" s="8"/>
      <c r="G84" s="7" t="str">
        <f>IFERROR(__xludf.DUMMYFUNCTION("""COMPUTED_VALUE"""),"")</f>
        <v/>
      </c>
      <c r="K84" s="7" t="str">
        <f>IFERROR(__xludf.DUMMYFUNCTION("""COMPUTED_VALUE"""),"")</f>
        <v/>
      </c>
      <c r="M84" s="7" t="s">
        <v>110</v>
      </c>
      <c r="O84" s="7" t="str">
        <f>IFERROR(__xludf.DUMMYFUNCTION("""COMPUTED_VALUE"""),"")</f>
        <v/>
      </c>
      <c r="Q84" s="7" t="s">
        <v>110</v>
      </c>
      <c r="R84" s="7" t="str">
        <f>IFERROR(__xludf.DUMMYFUNCTION("""COMPUTED_VALUE"""),"")</f>
        <v/>
      </c>
    </row>
    <row r="85">
      <c r="B85" s="8"/>
      <c r="G85" s="7" t="str">
        <f>IFERROR(__xludf.DUMMYFUNCTION("""COMPUTED_VALUE"""),"")</f>
        <v/>
      </c>
      <c r="K85" s="7" t="str">
        <f>IFERROR(__xludf.DUMMYFUNCTION("""COMPUTED_VALUE"""),"")</f>
        <v/>
      </c>
      <c r="M85" s="7" t="s">
        <v>110</v>
      </c>
      <c r="O85" s="7" t="str">
        <f>IFERROR(__xludf.DUMMYFUNCTION("""COMPUTED_VALUE"""),"")</f>
        <v/>
      </c>
      <c r="Q85" s="7" t="s">
        <v>110</v>
      </c>
      <c r="R85" s="7" t="str">
        <f>IFERROR(__xludf.DUMMYFUNCTION("""COMPUTED_VALUE"""),"")</f>
        <v/>
      </c>
    </row>
    <row r="86">
      <c r="B86" s="8"/>
      <c r="G86" s="7" t="str">
        <f>IFERROR(__xludf.DUMMYFUNCTION("""COMPUTED_VALUE"""),"")</f>
        <v/>
      </c>
      <c r="K86" s="7" t="str">
        <f>IFERROR(__xludf.DUMMYFUNCTION("""COMPUTED_VALUE"""),"")</f>
        <v/>
      </c>
      <c r="M86" s="7" t="s">
        <v>110</v>
      </c>
      <c r="O86" s="7" t="str">
        <f>IFERROR(__xludf.DUMMYFUNCTION("""COMPUTED_VALUE"""),"")</f>
        <v/>
      </c>
      <c r="Q86" s="7" t="s">
        <v>110</v>
      </c>
      <c r="R86" s="7" t="str">
        <f>IFERROR(__xludf.DUMMYFUNCTION("""COMPUTED_VALUE"""),"")</f>
        <v/>
      </c>
    </row>
    <row r="87">
      <c r="B87" s="8"/>
      <c r="G87" s="7" t="str">
        <f>IFERROR(__xludf.DUMMYFUNCTION("""COMPUTED_VALUE"""),"")</f>
        <v/>
      </c>
      <c r="K87" s="7" t="str">
        <f>IFERROR(__xludf.DUMMYFUNCTION("""COMPUTED_VALUE"""),"")</f>
        <v/>
      </c>
      <c r="M87" s="7" t="s">
        <v>110</v>
      </c>
      <c r="O87" s="7" t="str">
        <f>IFERROR(__xludf.DUMMYFUNCTION("""COMPUTED_VALUE"""),"")</f>
        <v/>
      </c>
      <c r="Q87" s="7" t="s">
        <v>110</v>
      </c>
      <c r="R87" s="7" t="str">
        <f>IFERROR(__xludf.DUMMYFUNCTION("""COMPUTED_VALUE"""),"")</f>
        <v/>
      </c>
    </row>
    <row r="88">
      <c r="B88" s="8"/>
      <c r="G88" s="7" t="str">
        <f>IFERROR(__xludf.DUMMYFUNCTION("""COMPUTED_VALUE"""),"")</f>
        <v/>
      </c>
      <c r="K88" s="7" t="str">
        <f>IFERROR(__xludf.DUMMYFUNCTION("""COMPUTED_VALUE"""),"")</f>
        <v/>
      </c>
      <c r="M88" s="7" t="s">
        <v>110</v>
      </c>
      <c r="O88" s="7" t="str">
        <f>IFERROR(__xludf.DUMMYFUNCTION("""COMPUTED_VALUE"""),"")</f>
        <v/>
      </c>
      <c r="Q88" s="7" t="s">
        <v>110</v>
      </c>
      <c r="R88" s="7" t="str">
        <f>IFERROR(__xludf.DUMMYFUNCTION("""COMPUTED_VALUE"""),"")</f>
        <v/>
      </c>
    </row>
    <row r="89">
      <c r="B89" s="8"/>
      <c r="G89" s="7" t="str">
        <f>IFERROR(__xludf.DUMMYFUNCTION("""COMPUTED_VALUE"""),"")</f>
        <v/>
      </c>
      <c r="K89" s="7" t="str">
        <f>IFERROR(__xludf.DUMMYFUNCTION("""COMPUTED_VALUE"""),"")</f>
        <v/>
      </c>
      <c r="M89" s="7" t="s">
        <v>110</v>
      </c>
      <c r="O89" s="7" t="str">
        <f>IFERROR(__xludf.DUMMYFUNCTION("""COMPUTED_VALUE"""),"")</f>
        <v/>
      </c>
      <c r="Q89" s="7" t="s">
        <v>110</v>
      </c>
      <c r="R89" s="7" t="str">
        <f>IFERROR(__xludf.DUMMYFUNCTION("""COMPUTED_VALUE"""),"")</f>
        <v/>
      </c>
    </row>
    <row r="90">
      <c r="B90" s="8"/>
      <c r="G90" s="7" t="str">
        <f>IFERROR(__xludf.DUMMYFUNCTION("""COMPUTED_VALUE"""),"")</f>
        <v/>
      </c>
      <c r="K90" s="7" t="str">
        <f>IFERROR(__xludf.DUMMYFUNCTION("""COMPUTED_VALUE"""),"")</f>
        <v/>
      </c>
      <c r="M90" s="7" t="s">
        <v>110</v>
      </c>
      <c r="O90" s="7" t="str">
        <f>IFERROR(__xludf.DUMMYFUNCTION("""COMPUTED_VALUE"""),"")</f>
        <v/>
      </c>
      <c r="Q90" s="7" t="s">
        <v>110</v>
      </c>
      <c r="R90" s="7" t="str">
        <f>IFERROR(__xludf.DUMMYFUNCTION("""COMPUTED_VALUE"""),"")</f>
        <v/>
      </c>
    </row>
    <row r="91">
      <c r="B91" s="8"/>
      <c r="G91" s="7" t="str">
        <f>IFERROR(__xludf.DUMMYFUNCTION("""COMPUTED_VALUE"""),"")</f>
        <v/>
      </c>
      <c r="K91" s="7" t="str">
        <f>IFERROR(__xludf.DUMMYFUNCTION("""COMPUTED_VALUE"""),"")</f>
        <v/>
      </c>
      <c r="M91" s="7" t="s">
        <v>110</v>
      </c>
      <c r="O91" s="7" t="str">
        <f>IFERROR(__xludf.DUMMYFUNCTION("""COMPUTED_VALUE"""),"")</f>
        <v/>
      </c>
      <c r="Q91" s="7" t="s">
        <v>110</v>
      </c>
      <c r="R91" s="7" t="str">
        <f>IFERROR(__xludf.DUMMYFUNCTION("""COMPUTED_VALUE"""),"")</f>
        <v/>
      </c>
    </row>
    <row r="92">
      <c r="B92" s="8"/>
      <c r="G92" s="7" t="str">
        <f>IFERROR(__xludf.DUMMYFUNCTION("""COMPUTED_VALUE"""),"")</f>
        <v/>
      </c>
      <c r="K92" s="7" t="str">
        <f>IFERROR(__xludf.DUMMYFUNCTION("""COMPUTED_VALUE"""),"")</f>
        <v/>
      </c>
      <c r="M92" s="7" t="s">
        <v>110</v>
      </c>
      <c r="O92" s="7" t="str">
        <f>IFERROR(__xludf.DUMMYFUNCTION("""COMPUTED_VALUE"""),"")</f>
        <v/>
      </c>
      <c r="Q92" s="7" t="s">
        <v>110</v>
      </c>
      <c r="R92" s="7" t="str">
        <f>IFERROR(__xludf.DUMMYFUNCTION("""COMPUTED_VALUE"""),"")</f>
        <v/>
      </c>
    </row>
    <row r="93">
      <c r="B93" s="8"/>
      <c r="G93" s="7" t="str">
        <f>IFERROR(__xludf.DUMMYFUNCTION("""COMPUTED_VALUE"""),"")</f>
        <v/>
      </c>
      <c r="K93" s="7" t="str">
        <f>IFERROR(__xludf.DUMMYFUNCTION("""COMPUTED_VALUE"""),"")</f>
        <v/>
      </c>
      <c r="M93" s="7" t="s">
        <v>110</v>
      </c>
      <c r="O93" s="7" t="str">
        <f>IFERROR(__xludf.DUMMYFUNCTION("""COMPUTED_VALUE"""),"")</f>
        <v/>
      </c>
      <c r="Q93" s="7" t="s">
        <v>110</v>
      </c>
      <c r="R93" s="7" t="str">
        <f>IFERROR(__xludf.DUMMYFUNCTION("""COMPUTED_VALUE"""),"")</f>
        <v/>
      </c>
    </row>
    <row r="94">
      <c r="B94" s="8"/>
      <c r="G94" s="7" t="str">
        <f>IFERROR(__xludf.DUMMYFUNCTION("""COMPUTED_VALUE"""),"")</f>
        <v/>
      </c>
      <c r="K94" s="7" t="str">
        <f>IFERROR(__xludf.DUMMYFUNCTION("""COMPUTED_VALUE"""),"")</f>
        <v/>
      </c>
      <c r="M94" s="7" t="s">
        <v>110</v>
      </c>
      <c r="O94" s="7" t="str">
        <f>IFERROR(__xludf.DUMMYFUNCTION("""COMPUTED_VALUE"""),"")</f>
        <v/>
      </c>
      <c r="Q94" s="7" t="s">
        <v>110</v>
      </c>
      <c r="R94" s="7" t="str">
        <f>IFERROR(__xludf.DUMMYFUNCTION("""COMPUTED_VALUE"""),"")</f>
        <v/>
      </c>
    </row>
    <row r="95">
      <c r="B95" s="8"/>
      <c r="G95" s="7" t="str">
        <f>IFERROR(__xludf.DUMMYFUNCTION("""COMPUTED_VALUE"""),"")</f>
        <v/>
      </c>
      <c r="K95" s="7" t="str">
        <f>IFERROR(__xludf.DUMMYFUNCTION("""COMPUTED_VALUE"""),"")</f>
        <v/>
      </c>
      <c r="M95" s="7" t="s">
        <v>110</v>
      </c>
      <c r="O95" s="7" t="str">
        <f>IFERROR(__xludf.DUMMYFUNCTION("""COMPUTED_VALUE"""),"")</f>
        <v/>
      </c>
      <c r="Q95" s="7" t="s">
        <v>110</v>
      </c>
      <c r="R95" s="7" t="str">
        <f>IFERROR(__xludf.DUMMYFUNCTION("""COMPUTED_VALUE"""),"")</f>
        <v/>
      </c>
    </row>
    <row r="96">
      <c r="B96" s="8"/>
      <c r="G96" s="7" t="str">
        <f>IFERROR(__xludf.DUMMYFUNCTION("""COMPUTED_VALUE"""),"")</f>
        <v/>
      </c>
      <c r="K96" s="7" t="str">
        <f>IFERROR(__xludf.DUMMYFUNCTION("""COMPUTED_VALUE"""),"")</f>
        <v/>
      </c>
      <c r="M96" s="7" t="s">
        <v>110</v>
      </c>
      <c r="O96" s="7" t="str">
        <f>IFERROR(__xludf.DUMMYFUNCTION("""COMPUTED_VALUE"""),"")</f>
        <v/>
      </c>
      <c r="Q96" s="7" t="s">
        <v>110</v>
      </c>
      <c r="R96" s="7" t="str">
        <f>IFERROR(__xludf.DUMMYFUNCTION("""COMPUTED_VALUE"""),"")</f>
        <v/>
      </c>
    </row>
    <row r="97">
      <c r="B97" s="8"/>
      <c r="G97" s="7" t="str">
        <f>IFERROR(__xludf.DUMMYFUNCTION("""COMPUTED_VALUE"""),"")</f>
        <v/>
      </c>
      <c r="K97" s="7" t="str">
        <f>IFERROR(__xludf.DUMMYFUNCTION("""COMPUTED_VALUE"""),"")</f>
        <v/>
      </c>
      <c r="M97" s="7" t="s">
        <v>110</v>
      </c>
      <c r="O97" s="7" t="str">
        <f>IFERROR(__xludf.DUMMYFUNCTION("""COMPUTED_VALUE"""),"")</f>
        <v/>
      </c>
      <c r="Q97" s="7" t="s">
        <v>110</v>
      </c>
      <c r="R97" s="7" t="str">
        <f>IFERROR(__xludf.DUMMYFUNCTION("""COMPUTED_VALUE"""),"")</f>
        <v/>
      </c>
    </row>
    <row r="98">
      <c r="B98" s="8"/>
      <c r="G98" s="7" t="str">
        <f>IFERROR(__xludf.DUMMYFUNCTION("""COMPUTED_VALUE"""),"")</f>
        <v/>
      </c>
      <c r="K98" s="7" t="str">
        <f>IFERROR(__xludf.DUMMYFUNCTION("""COMPUTED_VALUE"""),"")</f>
        <v/>
      </c>
      <c r="M98" s="7" t="s">
        <v>110</v>
      </c>
      <c r="O98" s="7" t="str">
        <f>IFERROR(__xludf.DUMMYFUNCTION("""COMPUTED_VALUE"""),"")</f>
        <v/>
      </c>
      <c r="Q98" s="7" t="s">
        <v>110</v>
      </c>
      <c r="R98" s="7" t="str">
        <f>IFERROR(__xludf.DUMMYFUNCTION("""COMPUTED_VALUE"""),"")</f>
        <v/>
      </c>
    </row>
    <row r="99">
      <c r="B99" s="8"/>
      <c r="G99" s="7" t="str">
        <f>IFERROR(__xludf.DUMMYFUNCTION("""COMPUTED_VALUE"""),"")</f>
        <v/>
      </c>
      <c r="K99" s="7" t="str">
        <f>IFERROR(__xludf.DUMMYFUNCTION("""COMPUTED_VALUE"""),"")</f>
        <v/>
      </c>
      <c r="M99" s="7" t="s">
        <v>110</v>
      </c>
      <c r="O99" s="7" t="str">
        <f>IFERROR(__xludf.DUMMYFUNCTION("""COMPUTED_VALUE"""),"")</f>
        <v/>
      </c>
      <c r="Q99" s="7" t="s">
        <v>110</v>
      </c>
      <c r="R99" s="7" t="str">
        <f>IFERROR(__xludf.DUMMYFUNCTION("""COMPUTED_VALUE"""),"")</f>
        <v/>
      </c>
    </row>
    <row r="100">
      <c r="B100" s="8"/>
      <c r="G100" s="7" t="str">
        <f>IFERROR(__xludf.DUMMYFUNCTION("""COMPUTED_VALUE"""),"")</f>
        <v/>
      </c>
      <c r="K100" s="7" t="str">
        <f>IFERROR(__xludf.DUMMYFUNCTION("""COMPUTED_VALUE"""),"")</f>
        <v/>
      </c>
      <c r="M100" s="7" t="s">
        <v>110</v>
      </c>
      <c r="O100" s="7" t="str">
        <f>IFERROR(__xludf.DUMMYFUNCTION("""COMPUTED_VALUE"""),"")</f>
        <v/>
      </c>
      <c r="Q100" s="7" t="s">
        <v>110</v>
      </c>
      <c r="R100" s="7" t="str">
        <f>IFERROR(__xludf.DUMMYFUNCTION("""COMPUTED_VALUE"""),"")</f>
        <v/>
      </c>
    </row>
    <row r="101">
      <c r="B101" s="8"/>
      <c r="G101" s="7" t="str">
        <f>IFERROR(__xludf.DUMMYFUNCTION("""COMPUTED_VALUE"""),"")</f>
        <v/>
      </c>
      <c r="K101" s="7" t="str">
        <f>IFERROR(__xludf.DUMMYFUNCTION("""COMPUTED_VALUE"""),"")</f>
        <v/>
      </c>
      <c r="M101" s="7" t="s">
        <v>110</v>
      </c>
      <c r="O101" s="7" t="str">
        <f>IFERROR(__xludf.DUMMYFUNCTION("""COMPUTED_VALUE"""),"")</f>
        <v/>
      </c>
      <c r="Q101" s="7" t="s">
        <v>110</v>
      </c>
      <c r="R101" s="7" t="str">
        <f>IFERROR(__xludf.DUMMYFUNCTION("""COMPUTED_VALUE"""),"")</f>
        <v/>
      </c>
    </row>
    <row r="102">
      <c r="B102" s="8"/>
      <c r="G102" s="7" t="str">
        <f>IFERROR(__xludf.DUMMYFUNCTION("""COMPUTED_VALUE"""),"")</f>
        <v/>
      </c>
      <c r="K102" s="7" t="str">
        <f>IFERROR(__xludf.DUMMYFUNCTION("""COMPUTED_VALUE"""),"")</f>
        <v/>
      </c>
      <c r="M102" s="7" t="s">
        <v>110</v>
      </c>
      <c r="O102" s="7" t="str">
        <f>IFERROR(__xludf.DUMMYFUNCTION("""COMPUTED_VALUE"""),"")</f>
        <v/>
      </c>
      <c r="Q102" s="7" t="s">
        <v>110</v>
      </c>
      <c r="R102" s="7" t="str">
        <f>IFERROR(__xludf.DUMMYFUNCTION("""COMPUTED_VALUE"""),"")</f>
        <v/>
      </c>
    </row>
    <row r="103">
      <c r="B103" s="8"/>
      <c r="G103" s="7" t="str">
        <f>IFERROR(__xludf.DUMMYFUNCTION("""COMPUTED_VALUE"""),"")</f>
        <v/>
      </c>
      <c r="K103" s="7" t="str">
        <f>IFERROR(__xludf.DUMMYFUNCTION("""COMPUTED_VALUE"""),"")</f>
        <v/>
      </c>
      <c r="M103" s="7" t="s">
        <v>110</v>
      </c>
      <c r="O103" s="7" t="str">
        <f>IFERROR(__xludf.DUMMYFUNCTION("""COMPUTED_VALUE"""),"")</f>
        <v/>
      </c>
      <c r="Q103" s="7" t="s">
        <v>110</v>
      </c>
      <c r="R103" s="7" t="str">
        <f>IFERROR(__xludf.DUMMYFUNCTION("""COMPUTED_VALUE"""),"")</f>
        <v/>
      </c>
    </row>
    <row r="104">
      <c r="B104" s="8"/>
      <c r="G104" s="7" t="str">
        <f>IFERROR(__xludf.DUMMYFUNCTION("""COMPUTED_VALUE"""),"")</f>
        <v/>
      </c>
      <c r="K104" s="7" t="str">
        <f>IFERROR(__xludf.DUMMYFUNCTION("""COMPUTED_VALUE"""),"")</f>
        <v/>
      </c>
      <c r="M104" s="7" t="s">
        <v>110</v>
      </c>
      <c r="O104" s="7" t="str">
        <f>IFERROR(__xludf.DUMMYFUNCTION("""COMPUTED_VALUE"""),"")</f>
        <v/>
      </c>
      <c r="Q104" s="7" t="s">
        <v>110</v>
      </c>
      <c r="R104" s="7" t="str">
        <f>IFERROR(__xludf.DUMMYFUNCTION("""COMPUTED_VALUE"""),"")</f>
        <v/>
      </c>
    </row>
    <row r="105">
      <c r="B105" s="8"/>
      <c r="G105" s="7" t="str">
        <f>IFERROR(__xludf.DUMMYFUNCTION("""COMPUTED_VALUE"""),"")</f>
        <v/>
      </c>
      <c r="K105" s="7" t="str">
        <f>IFERROR(__xludf.DUMMYFUNCTION("""COMPUTED_VALUE"""),"")</f>
        <v/>
      </c>
      <c r="M105" s="7" t="s">
        <v>110</v>
      </c>
      <c r="O105" s="7" t="str">
        <f>IFERROR(__xludf.DUMMYFUNCTION("""COMPUTED_VALUE"""),"")</f>
        <v/>
      </c>
      <c r="Q105" s="7" t="s">
        <v>110</v>
      </c>
      <c r="R105" s="7" t="str">
        <f>IFERROR(__xludf.DUMMYFUNCTION("""COMPUTED_VALUE"""),"")</f>
        <v/>
      </c>
    </row>
    <row r="106">
      <c r="B106" s="8"/>
      <c r="G106" s="7" t="str">
        <f>IFERROR(__xludf.DUMMYFUNCTION("""COMPUTED_VALUE"""),"")</f>
        <v/>
      </c>
      <c r="K106" s="7" t="str">
        <f>IFERROR(__xludf.DUMMYFUNCTION("""COMPUTED_VALUE"""),"")</f>
        <v/>
      </c>
      <c r="M106" s="7" t="s">
        <v>110</v>
      </c>
      <c r="O106" s="7" t="str">
        <f>IFERROR(__xludf.DUMMYFUNCTION("""COMPUTED_VALUE"""),"")</f>
        <v/>
      </c>
      <c r="Q106" s="7" t="s">
        <v>110</v>
      </c>
      <c r="R106" s="7" t="str">
        <f>IFERROR(__xludf.DUMMYFUNCTION("""COMPUTED_VALUE"""),"")</f>
        <v/>
      </c>
    </row>
    <row r="107">
      <c r="B107" s="8"/>
      <c r="G107" s="7" t="str">
        <f>IFERROR(__xludf.DUMMYFUNCTION("""COMPUTED_VALUE"""),"")</f>
        <v/>
      </c>
      <c r="K107" s="7" t="str">
        <f>IFERROR(__xludf.DUMMYFUNCTION("""COMPUTED_VALUE"""),"")</f>
        <v/>
      </c>
      <c r="M107" s="7" t="s">
        <v>110</v>
      </c>
      <c r="O107" s="7" t="str">
        <f>IFERROR(__xludf.DUMMYFUNCTION("""COMPUTED_VALUE"""),"")</f>
        <v/>
      </c>
      <c r="Q107" s="7" t="s">
        <v>110</v>
      </c>
      <c r="R107" s="7" t="str">
        <f>IFERROR(__xludf.DUMMYFUNCTION("""COMPUTED_VALUE"""),"")</f>
        <v/>
      </c>
    </row>
    <row r="108">
      <c r="B108" s="8"/>
      <c r="G108" s="7" t="str">
        <f>IFERROR(__xludf.DUMMYFUNCTION("""COMPUTED_VALUE"""),"")</f>
        <v/>
      </c>
      <c r="K108" s="7" t="str">
        <f>IFERROR(__xludf.DUMMYFUNCTION("""COMPUTED_VALUE"""),"")</f>
        <v/>
      </c>
      <c r="M108" s="7" t="s">
        <v>110</v>
      </c>
      <c r="O108" s="7" t="str">
        <f>IFERROR(__xludf.DUMMYFUNCTION("""COMPUTED_VALUE"""),"")</f>
        <v/>
      </c>
      <c r="Q108" s="7" t="s">
        <v>110</v>
      </c>
      <c r="R108" s="7" t="str">
        <f>IFERROR(__xludf.DUMMYFUNCTION("""COMPUTED_VALUE"""),"")</f>
        <v/>
      </c>
    </row>
    <row r="109">
      <c r="B109" s="8"/>
      <c r="G109" s="7" t="str">
        <f>IFERROR(__xludf.DUMMYFUNCTION("""COMPUTED_VALUE"""),"")</f>
        <v/>
      </c>
      <c r="K109" s="7" t="str">
        <f>IFERROR(__xludf.DUMMYFUNCTION("""COMPUTED_VALUE"""),"")</f>
        <v/>
      </c>
      <c r="M109" s="7" t="s">
        <v>110</v>
      </c>
      <c r="O109" s="7" t="str">
        <f>IFERROR(__xludf.DUMMYFUNCTION("""COMPUTED_VALUE"""),"")</f>
        <v/>
      </c>
      <c r="Q109" s="7" t="s">
        <v>110</v>
      </c>
      <c r="R109" s="7" t="str">
        <f>IFERROR(__xludf.DUMMYFUNCTION("""COMPUTED_VALUE"""),"")</f>
        <v/>
      </c>
    </row>
    <row r="110">
      <c r="B110" s="8"/>
      <c r="G110" s="7" t="str">
        <f>IFERROR(__xludf.DUMMYFUNCTION("""COMPUTED_VALUE"""),"")</f>
        <v/>
      </c>
      <c r="K110" s="7" t="str">
        <f>IFERROR(__xludf.DUMMYFUNCTION("""COMPUTED_VALUE"""),"")</f>
        <v/>
      </c>
      <c r="M110" s="7" t="s">
        <v>110</v>
      </c>
      <c r="O110" s="7" t="str">
        <f>IFERROR(__xludf.DUMMYFUNCTION("""COMPUTED_VALUE"""),"")</f>
        <v/>
      </c>
      <c r="Q110" s="7" t="s">
        <v>110</v>
      </c>
      <c r="R110" s="7" t="str">
        <f>IFERROR(__xludf.DUMMYFUNCTION("""COMPUTED_VALUE"""),"")</f>
        <v/>
      </c>
    </row>
    <row r="111">
      <c r="B111" s="8"/>
      <c r="G111" s="7" t="str">
        <f>IFERROR(__xludf.DUMMYFUNCTION("""COMPUTED_VALUE"""),"")</f>
        <v/>
      </c>
      <c r="K111" s="7" t="str">
        <f>IFERROR(__xludf.DUMMYFUNCTION("""COMPUTED_VALUE"""),"")</f>
        <v/>
      </c>
      <c r="M111" s="7" t="s">
        <v>110</v>
      </c>
      <c r="O111" s="7" t="str">
        <f>IFERROR(__xludf.DUMMYFUNCTION("""COMPUTED_VALUE"""),"")</f>
        <v/>
      </c>
      <c r="Q111" s="7" t="s">
        <v>110</v>
      </c>
      <c r="R111" s="7" t="str">
        <f>IFERROR(__xludf.DUMMYFUNCTION("""COMPUTED_VALUE"""),"")</f>
        <v/>
      </c>
    </row>
    <row r="112">
      <c r="B112" s="8"/>
      <c r="G112" s="7" t="str">
        <f>IFERROR(__xludf.DUMMYFUNCTION("""COMPUTED_VALUE"""),"")</f>
        <v/>
      </c>
      <c r="K112" s="7" t="str">
        <f>IFERROR(__xludf.DUMMYFUNCTION("""COMPUTED_VALUE"""),"")</f>
        <v/>
      </c>
      <c r="M112" s="7" t="s">
        <v>110</v>
      </c>
      <c r="O112" s="7" t="str">
        <f>IFERROR(__xludf.DUMMYFUNCTION("""COMPUTED_VALUE"""),"")</f>
        <v/>
      </c>
      <c r="Q112" s="7" t="s">
        <v>110</v>
      </c>
      <c r="R112" s="7" t="str">
        <f>IFERROR(__xludf.DUMMYFUNCTION("""COMPUTED_VALUE"""),"")</f>
        <v/>
      </c>
    </row>
    <row r="113">
      <c r="B113" s="8"/>
      <c r="G113" s="7" t="str">
        <f>IFERROR(__xludf.DUMMYFUNCTION("""COMPUTED_VALUE"""),"")</f>
        <v/>
      </c>
      <c r="K113" s="7" t="str">
        <f>IFERROR(__xludf.DUMMYFUNCTION("""COMPUTED_VALUE"""),"")</f>
        <v/>
      </c>
      <c r="M113" s="7" t="s">
        <v>110</v>
      </c>
      <c r="O113" s="7" t="str">
        <f>IFERROR(__xludf.DUMMYFUNCTION("""COMPUTED_VALUE"""),"")</f>
        <v/>
      </c>
      <c r="Q113" s="7" t="s">
        <v>110</v>
      </c>
      <c r="R113" s="7" t="str">
        <f>IFERROR(__xludf.DUMMYFUNCTION("""COMPUTED_VALUE"""),"")</f>
        <v/>
      </c>
    </row>
    <row r="114">
      <c r="B114" s="8"/>
      <c r="G114" s="7" t="str">
        <f>IFERROR(__xludf.DUMMYFUNCTION("""COMPUTED_VALUE"""),"")</f>
        <v/>
      </c>
      <c r="K114" s="7" t="str">
        <f>IFERROR(__xludf.DUMMYFUNCTION("""COMPUTED_VALUE"""),"")</f>
        <v/>
      </c>
      <c r="M114" s="7" t="s">
        <v>110</v>
      </c>
      <c r="O114" s="7" t="str">
        <f>IFERROR(__xludf.DUMMYFUNCTION("""COMPUTED_VALUE"""),"")</f>
        <v/>
      </c>
      <c r="Q114" s="7" t="s">
        <v>110</v>
      </c>
      <c r="R114" s="7" t="str">
        <f>IFERROR(__xludf.DUMMYFUNCTION("""COMPUTED_VALUE"""),"")</f>
        <v/>
      </c>
    </row>
    <row r="115">
      <c r="B115" s="8"/>
      <c r="G115" s="7" t="str">
        <f>IFERROR(__xludf.DUMMYFUNCTION("""COMPUTED_VALUE"""),"")</f>
        <v/>
      </c>
      <c r="K115" s="7" t="str">
        <f>IFERROR(__xludf.DUMMYFUNCTION("""COMPUTED_VALUE"""),"")</f>
        <v/>
      </c>
      <c r="M115" s="7" t="s">
        <v>110</v>
      </c>
      <c r="O115" s="7" t="str">
        <f>IFERROR(__xludf.DUMMYFUNCTION("""COMPUTED_VALUE"""),"")</f>
        <v/>
      </c>
      <c r="Q115" s="7" t="s">
        <v>110</v>
      </c>
      <c r="R115" s="7" t="str">
        <f>IFERROR(__xludf.DUMMYFUNCTION("""COMPUTED_VALUE"""),"")</f>
        <v/>
      </c>
    </row>
    <row r="116">
      <c r="B116" s="8"/>
      <c r="G116" s="7" t="str">
        <f>IFERROR(__xludf.DUMMYFUNCTION("""COMPUTED_VALUE"""),"")</f>
        <v/>
      </c>
      <c r="K116" s="7" t="str">
        <f>IFERROR(__xludf.DUMMYFUNCTION("""COMPUTED_VALUE"""),"")</f>
        <v/>
      </c>
      <c r="M116" s="7" t="s">
        <v>110</v>
      </c>
      <c r="O116" s="7" t="str">
        <f>IFERROR(__xludf.DUMMYFUNCTION("""COMPUTED_VALUE"""),"")</f>
        <v/>
      </c>
      <c r="Q116" s="7" t="s">
        <v>110</v>
      </c>
      <c r="R116" s="7" t="str">
        <f>IFERROR(__xludf.DUMMYFUNCTION("""COMPUTED_VALUE"""),"")</f>
        <v/>
      </c>
    </row>
    <row r="117">
      <c r="B117" s="8"/>
      <c r="G117" s="7" t="str">
        <f>IFERROR(__xludf.DUMMYFUNCTION("""COMPUTED_VALUE"""),"")</f>
        <v/>
      </c>
      <c r="K117" s="7" t="str">
        <f>IFERROR(__xludf.DUMMYFUNCTION("""COMPUTED_VALUE"""),"")</f>
        <v/>
      </c>
      <c r="M117" s="7" t="s">
        <v>110</v>
      </c>
      <c r="O117" s="7" t="str">
        <f>IFERROR(__xludf.DUMMYFUNCTION("""COMPUTED_VALUE"""),"")</f>
        <v/>
      </c>
      <c r="Q117" s="7" t="s">
        <v>110</v>
      </c>
      <c r="R117" s="7" t="str">
        <f>IFERROR(__xludf.DUMMYFUNCTION("""COMPUTED_VALUE"""),"")</f>
        <v/>
      </c>
    </row>
    <row r="118">
      <c r="B118" s="8"/>
      <c r="G118" s="7" t="str">
        <f>IFERROR(__xludf.DUMMYFUNCTION("""COMPUTED_VALUE"""),"")</f>
        <v/>
      </c>
      <c r="K118" s="7" t="str">
        <f>IFERROR(__xludf.DUMMYFUNCTION("""COMPUTED_VALUE"""),"")</f>
        <v/>
      </c>
      <c r="M118" s="7" t="s">
        <v>110</v>
      </c>
      <c r="O118" s="7" t="str">
        <f>IFERROR(__xludf.DUMMYFUNCTION("""COMPUTED_VALUE"""),"")</f>
        <v/>
      </c>
      <c r="Q118" s="7" t="s">
        <v>110</v>
      </c>
      <c r="R118" s="7" t="str">
        <f>IFERROR(__xludf.DUMMYFUNCTION("""COMPUTED_VALUE"""),"")</f>
        <v/>
      </c>
    </row>
    <row r="119">
      <c r="B119" s="8"/>
      <c r="G119" s="7" t="str">
        <f>IFERROR(__xludf.DUMMYFUNCTION("""COMPUTED_VALUE"""),"")</f>
        <v/>
      </c>
      <c r="K119" s="7" t="str">
        <f>IFERROR(__xludf.DUMMYFUNCTION("""COMPUTED_VALUE"""),"")</f>
        <v/>
      </c>
      <c r="M119" s="7" t="s">
        <v>110</v>
      </c>
      <c r="O119" s="7" t="str">
        <f>IFERROR(__xludf.DUMMYFUNCTION("""COMPUTED_VALUE"""),"")</f>
        <v/>
      </c>
      <c r="Q119" s="7" t="s">
        <v>110</v>
      </c>
      <c r="R119" s="7" t="str">
        <f>IFERROR(__xludf.DUMMYFUNCTION("""COMPUTED_VALUE"""),"")</f>
        <v/>
      </c>
    </row>
    <row r="120">
      <c r="B120" s="8"/>
      <c r="G120" s="7" t="str">
        <f>IFERROR(__xludf.DUMMYFUNCTION("""COMPUTED_VALUE"""),"")</f>
        <v/>
      </c>
      <c r="K120" s="7" t="str">
        <f>IFERROR(__xludf.DUMMYFUNCTION("""COMPUTED_VALUE"""),"")</f>
        <v/>
      </c>
      <c r="M120" s="7" t="s">
        <v>110</v>
      </c>
      <c r="O120" s="7" t="str">
        <f>IFERROR(__xludf.DUMMYFUNCTION("""COMPUTED_VALUE"""),"")</f>
        <v/>
      </c>
      <c r="Q120" s="7" t="s">
        <v>110</v>
      </c>
      <c r="R120" s="7" t="str">
        <f>IFERROR(__xludf.DUMMYFUNCTION("""COMPUTED_VALUE"""),"")</f>
        <v/>
      </c>
    </row>
    <row r="121">
      <c r="B121" s="8"/>
      <c r="G121" s="7" t="str">
        <f>IFERROR(__xludf.DUMMYFUNCTION("""COMPUTED_VALUE"""),"")</f>
        <v/>
      </c>
      <c r="K121" s="7" t="str">
        <f>IFERROR(__xludf.DUMMYFUNCTION("""COMPUTED_VALUE"""),"")</f>
        <v/>
      </c>
      <c r="M121" s="7" t="s">
        <v>110</v>
      </c>
      <c r="O121" s="7" t="str">
        <f>IFERROR(__xludf.DUMMYFUNCTION("""COMPUTED_VALUE"""),"")</f>
        <v/>
      </c>
      <c r="Q121" s="7" t="s">
        <v>110</v>
      </c>
      <c r="R121" s="7" t="str">
        <f>IFERROR(__xludf.DUMMYFUNCTION("""COMPUTED_VALUE"""),"")</f>
        <v/>
      </c>
    </row>
    <row r="122">
      <c r="B122" s="8"/>
      <c r="G122" s="7" t="str">
        <f>IFERROR(__xludf.DUMMYFUNCTION("""COMPUTED_VALUE"""),"")</f>
        <v/>
      </c>
      <c r="K122" s="7" t="str">
        <f>IFERROR(__xludf.DUMMYFUNCTION("""COMPUTED_VALUE"""),"")</f>
        <v/>
      </c>
      <c r="M122" s="7" t="s">
        <v>110</v>
      </c>
      <c r="O122" s="7" t="str">
        <f>IFERROR(__xludf.DUMMYFUNCTION("""COMPUTED_VALUE"""),"")</f>
        <v/>
      </c>
      <c r="Q122" s="7" t="s">
        <v>110</v>
      </c>
      <c r="R122" s="7" t="str">
        <f>IFERROR(__xludf.DUMMYFUNCTION("""COMPUTED_VALUE"""),"")</f>
        <v/>
      </c>
    </row>
    <row r="123">
      <c r="B123" s="8"/>
      <c r="G123" s="7" t="str">
        <f>IFERROR(__xludf.DUMMYFUNCTION("""COMPUTED_VALUE"""),"")</f>
        <v/>
      </c>
      <c r="K123" s="7" t="str">
        <f>IFERROR(__xludf.DUMMYFUNCTION("""COMPUTED_VALUE"""),"")</f>
        <v/>
      </c>
      <c r="M123" s="7" t="s">
        <v>110</v>
      </c>
      <c r="O123" s="7" t="str">
        <f>IFERROR(__xludf.DUMMYFUNCTION("""COMPUTED_VALUE"""),"")</f>
        <v/>
      </c>
      <c r="Q123" s="7" t="s">
        <v>110</v>
      </c>
      <c r="R123" s="7" t="str">
        <f>IFERROR(__xludf.DUMMYFUNCTION("""COMPUTED_VALUE"""),"")</f>
        <v/>
      </c>
    </row>
    <row r="124">
      <c r="B124" s="8"/>
      <c r="G124" s="7" t="str">
        <f>IFERROR(__xludf.DUMMYFUNCTION("""COMPUTED_VALUE"""),"")</f>
        <v/>
      </c>
      <c r="K124" s="7" t="str">
        <f>IFERROR(__xludf.DUMMYFUNCTION("""COMPUTED_VALUE"""),"")</f>
        <v/>
      </c>
      <c r="M124" s="7" t="s">
        <v>110</v>
      </c>
      <c r="O124" s="7" t="str">
        <f>IFERROR(__xludf.DUMMYFUNCTION("""COMPUTED_VALUE"""),"")</f>
        <v/>
      </c>
      <c r="Q124" s="7" t="s">
        <v>110</v>
      </c>
      <c r="R124" s="7" t="str">
        <f>IFERROR(__xludf.DUMMYFUNCTION("""COMPUTED_VALUE"""),"")</f>
        <v/>
      </c>
    </row>
    <row r="125">
      <c r="B125" s="8"/>
      <c r="G125" s="7" t="str">
        <f>IFERROR(__xludf.DUMMYFUNCTION("""COMPUTED_VALUE"""),"")</f>
        <v/>
      </c>
      <c r="K125" s="7" t="str">
        <f>IFERROR(__xludf.DUMMYFUNCTION("""COMPUTED_VALUE"""),"")</f>
        <v/>
      </c>
      <c r="M125" s="7" t="s">
        <v>110</v>
      </c>
      <c r="O125" s="7" t="str">
        <f>IFERROR(__xludf.DUMMYFUNCTION("""COMPUTED_VALUE"""),"")</f>
        <v/>
      </c>
      <c r="Q125" s="7" t="s">
        <v>110</v>
      </c>
      <c r="R125" s="7" t="str">
        <f>IFERROR(__xludf.DUMMYFUNCTION("""COMPUTED_VALUE"""),"")</f>
        <v/>
      </c>
    </row>
    <row r="126">
      <c r="B126" s="8"/>
      <c r="G126" s="7" t="str">
        <f>IFERROR(__xludf.DUMMYFUNCTION("""COMPUTED_VALUE"""),"")</f>
        <v/>
      </c>
      <c r="K126" s="7" t="str">
        <f>IFERROR(__xludf.DUMMYFUNCTION("""COMPUTED_VALUE"""),"")</f>
        <v/>
      </c>
      <c r="M126" s="7" t="s">
        <v>110</v>
      </c>
      <c r="O126" s="7" t="str">
        <f>IFERROR(__xludf.DUMMYFUNCTION("""COMPUTED_VALUE"""),"")</f>
        <v/>
      </c>
      <c r="Q126" s="7" t="s">
        <v>110</v>
      </c>
      <c r="R126" s="7" t="str">
        <f>IFERROR(__xludf.DUMMYFUNCTION("""COMPUTED_VALUE"""),"")</f>
        <v/>
      </c>
    </row>
    <row r="127">
      <c r="B127" s="8"/>
      <c r="G127" s="7" t="str">
        <f>IFERROR(__xludf.DUMMYFUNCTION("""COMPUTED_VALUE"""),"")</f>
        <v/>
      </c>
      <c r="K127" s="7" t="str">
        <f>IFERROR(__xludf.DUMMYFUNCTION("""COMPUTED_VALUE"""),"")</f>
        <v/>
      </c>
      <c r="M127" s="7" t="s">
        <v>110</v>
      </c>
      <c r="O127" s="7" t="str">
        <f>IFERROR(__xludf.DUMMYFUNCTION("""COMPUTED_VALUE"""),"")</f>
        <v/>
      </c>
      <c r="Q127" s="7" t="s">
        <v>110</v>
      </c>
      <c r="R127" s="7" t="str">
        <f>IFERROR(__xludf.DUMMYFUNCTION("""COMPUTED_VALUE"""),"")</f>
        <v/>
      </c>
    </row>
    <row r="128">
      <c r="B128" s="8"/>
      <c r="G128" s="7" t="str">
        <f>IFERROR(__xludf.DUMMYFUNCTION("""COMPUTED_VALUE"""),"")</f>
        <v/>
      </c>
      <c r="K128" s="7" t="str">
        <f>IFERROR(__xludf.DUMMYFUNCTION("""COMPUTED_VALUE"""),"")</f>
        <v/>
      </c>
      <c r="M128" s="7" t="s">
        <v>110</v>
      </c>
      <c r="O128" s="7" t="str">
        <f>IFERROR(__xludf.DUMMYFUNCTION("""COMPUTED_VALUE"""),"")</f>
        <v/>
      </c>
      <c r="Q128" s="7" t="s">
        <v>110</v>
      </c>
      <c r="R128" s="7" t="str">
        <f>IFERROR(__xludf.DUMMYFUNCTION("""COMPUTED_VALUE"""),"")</f>
        <v/>
      </c>
    </row>
    <row r="129">
      <c r="B129" s="8"/>
      <c r="G129" s="7" t="str">
        <f>IFERROR(__xludf.DUMMYFUNCTION("""COMPUTED_VALUE"""),"")</f>
        <v/>
      </c>
      <c r="K129" s="7" t="str">
        <f>IFERROR(__xludf.DUMMYFUNCTION("""COMPUTED_VALUE"""),"")</f>
        <v/>
      </c>
      <c r="M129" s="7" t="s">
        <v>110</v>
      </c>
      <c r="O129" s="7" t="str">
        <f>IFERROR(__xludf.DUMMYFUNCTION("""COMPUTED_VALUE"""),"")</f>
        <v/>
      </c>
      <c r="Q129" s="7" t="s">
        <v>110</v>
      </c>
      <c r="R129" s="7" t="str">
        <f>IFERROR(__xludf.DUMMYFUNCTION("""COMPUTED_VALUE"""),"")</f>
        <v/>
      </c>
    </row>
    <row r="130">
      <c r="B130" s="8"/>
      <c r="G130" s="7" t="str">
        <f>IFERROR(__xludf.DUMMYFUNCTION("""COMPUTED_VALUE"""),"")</f>
        <v/>
      </c>
      <c r="K130" s="7" t="str">
        <f>IFERROR(__xludf.DUMMYFUNCTION("""COMPUTED_VALUE"""),"")</f>
        <v/>
      </c>
      <c r="M130" s="7" t="s">
        <v>110</v>
      </c>
      <c r="O130" s="7" t="str">
        <f>IFERROR(__xludf.DUMMYFUNCTION("""COMPUTED_VALUE"""),"")</f>
        <v/>
      </c>
      <c r="Q130" s="7" t="s">
        <v>110</v>
      </c>
      <c r="R130" s="7" t="str">
        <f>IFERROR(__xludf.DUMMYFUNCTION("""COMPUTED_VALUE"""),"")</f>
        <v/>
      </c>
    </row>
    <row r="131">
      <c r="B131" s="8"/>
      <c r="G131" s="7" t="str">
        <f>IFERROR(__xludf.DUMMYFUNCTION("""COMPUTED_VALUE"""),"")</f>
        <v/>
      </c>
      <c r="K131" s="7" t="str">
        <f>IFERROR(__xludf.DUMMYFUNCTION("""COMPUTED_VALUE"""),"")</f>
        <v/>
      </c>
      <c r="M131" s="7" t="s">
        <v>110</v>
      </c>
      <c r="O131" s="7" t="str">
        <f>IFERROR(__xludf.DUMMYFUNCTION("""COMPUTED_VALUE"""),"")</f>
        <v/>
      </c>
      <c r="Q131" s="7" t="s">
        <v>110</v>
      </c>
      <c r="R131" s="7" t="str">
        <f>IFERROR(__xludf.DUMMYFUNCTION("""COMPUTED_VALUE"""),"")</f>
        <v/>
      </c>
    </row>
    <row r="132">
      <c r="B132" s="8"/>
      <c r="G132" s="7" t="str">
        <f>IFERROR(__xludf.DUMMYFUNCTION("""COMPUTED_VALUE"""),"")</f>
        <v/>
      </c>
      <c r="K132" s="7" t="str">
        <f>IFERROR(__xludf.DUMMYFUNCTION("""COMPUTED_VALUE"""),"")</f>
        <v/>
      </c>
      <c r="M132" s="7" t="s">
        <v>110</v>
      </c>
      <c r="O132" s="7" t="str">
        <f>IFERROR(__xludf.DUMMYFUNCTION("""COMPUTED_VALUE"""),"")</f>
        <v/>
      </c>
      <c r="Q132" s="7" t="s">
        <v>110</v>
      </c>
      <c r="R132" s="7" t="str">
        <f>IFERROR(__xludf.DUMMYFUNCTION("""COMPUTED_VALUE"""),"")</f>
        <v/>
      </c>
    </row>
    <row r="133">
      <c r="B133" s="8"/>
      <c r="G133" s="7" t="str">
        <f>IFERROR(__xludf.DUMMYFUNCTION("""COMPUTED_VALUE"""),"")</f>
        <v/>
      </c>
      <c r="K133" s="7" t="str">
        <f>IFERROR(__xludf.DUMMYFUNCTION("""COMPUTED_VALUE"""),"")</f>
        <v/>
      </c>
      <c r="M133" s="7" t="s">
        <v>110</v>
      </c>
      <c r="O133" s="7" t="str">
        <f>IFERROR(__xludf.DUMMYFUNCTION("""COMPUTED_VALUE"""),"")</f>
        <v/>
      </c>
      <c r="Q133" s="7" t="s">
        <v>110</v>
      </c>
      <c r="R133" s="7" t="str">
        <f>IFERROR(__xludf.DUMMYFUNCTION("""COMPUTED_VALUE"""),"")</f>
        <v/>
      </c>
    </row>
    <row r="134">
      <c r="B134" s="8"/>
      <c r="G134" s="7" t="str">
        <f>IFERROR(__xludf.DUMMYFUNCTION("""COMPUTED_VALUE"""),"")</f>
        <v/>
      </c>
      <c r="K134" s="7" t="str">
        <f>IFERROR(__xludf.DUMMYFUNCTION("""COMPUTED_VALUE"""),"")</f>
        <v/>
      </c>
      <c r="M134" s="7" t="s">
        <v>110</v>
      </c>
      <c r="O134" s="7" t="str">
        <f>IFERROR(__xludf.DUMMYFUNCTION("""COMPUTED_VALUE"""),"")</f>
        <v/>
      </c>
      <c r="Q134" s="7" t="s">
        <v>110</v>
      </c>
      <c r="R134" s="7" t="str">
        <f>IFERROR(__xludf.DUMMYFUNCTION("""COMPUTED_VALUE"""),"")</f>
        <v/>
      </c>
    </row>
    <row r="135">
      <c r="B135" s="8"/>
      <c r="G135" s="7" t="str">
        <f>IFERROR(__xludf.DUMMYFUNCTION("""COMPUTED_VALUE"""),"")</f>
        <v/>
      </c>
      <c r="K135" s="7" t="str">
        <f>IFERROR(__xludf.DUMMYFUNCTION("""COMPUTED_VALUE"""),"")</f>
        <v/>
      </c>
      <c r="M135" s="7" t="s">
        <v>110</v>
      </c>
      <c r="O135" s="7" t="str">
        <f>IFERROR(__xludf.DUMMYFUNCTION("""COMPUTED_VALUE"""),"")</f>
        <v/>
      </c>
      <c r="Q135" s="7" t="s">
        <v>110</v>
      </c>
      <c r="R135" s="7" t="str">
        <f>IFERROR(__xludf.DUMMYFUNCTION("""COMPUTED_VALUE"""),"")</f>
        <v/>
      </c>
    </row>
    <row r="136">
      <c r="B136" s="8"/>
      <c r="G136" s="7" t="str">
        <f>IFERROR(__xludf.DUMMYFUNCTION("""COMPUTED_VALUE"""),"")</f>
        <v/>
      </c>
      <c r="K136" s="7" t="str">
        <f>IFERROR(__xludf.DUMMYFUNCTION("""COMPUTED_VALUE"""),"")</f>
        <v/>
      </c>
      <c r="M136" s="7" t="s">
        <v>110</v>
      </c>
      <c r="O136" s="7" t="str">
        <f>IFERROR(__xludf.DUMMYFUNCTION("""COMPUTED_VALUE"""),"")</f>
        <v/>
      </c>
      <c r="Q136" s="7" t="s">
        <v>110</v>
      </c>
      <c r="R136" s="7" t="str">
        <f>IFERROR(__xludf.DUMMYFUNCTION("""COMPUTED_VALUE"""),"")</f>
        <v/>
      </c>
    </row>
    <row r="137">
      <c r="B137" s="8"/>
      <c r="G137" s="7" t="str">
        <f>IFERROR(__xludf.DUMMYFUNCTION("""COMPUTED_VALUE"""),"")</f>
        <v/>
      </c>
      <c r="K137" s="7" t="str">
        <f>IFERROR(__xludf.DUMMYFUNCTION("""COMPUTED_VALUE"""),"")</f>
        <v/>
      </c>
      <c r="M137" s="7" t="s">
        <v>110</v>
      </c>
      <c r="O137" s="7" t="str">
        <f>IFERROR(__xludf.DUMMYFUNCTION("""COMPUTED_VALUE"""),"")</f>
        <v/>
      </c>
      <c r="Q137" s="7" t="s">
        <v>110</v>
      </c>
      <c r="R137" s="7" t="str">
        <f>IFERROR(__xludf.DUMMYFUNCTION("""COMPUTED_VALUE"""),"")</f>
        <v/>
      </c>
    </row>
    <row r="138">
      <c r="B138" s="8"/>
      <c r="G138" s="7" t="str">
        <f>IFERROR(__xludf.DUMMYFUNCTION("""COMPUTED_VALUE"""),"")</f>
        <v/>
      </c>
      <c r="K138" s="7" t="str">
        <f>IFERROR(__xludf.DUMMYFUNCTION("""COMPUTED_VALUE"""),"")</f>
        <v/>
      </c>
      <c r="M138" s="7" t="s">
        <v>110</v>
      </c>
      <c r="O138" s="7" t="str">
        <f>IFERROR(__xludf.DUMMYFUNCTION("""COMPUTED_VALUE"""),"")</f>
        <v/>
      </c>
      <c r="Q138" s="7" t="s">
        <v>110</v>
      </c>
      <c r="R138" s="7" t="str">
        <f>IFERROR(__xludf.DUMMYFUNCTION("""COMPUTED_VALUE"""),"")</f>
        <v/>
      </c>
    </row>
    <row r="139">
      <c r="B139" s="8"/>
      <c r="G139" s="7" t="str">
        <f>IFERROR(__xludf.DUMMYFUNCTION("""COMPUTED_VALUE"""),"")</f>
        <v/>
      </c>
      <c r="K139" s="7" t="str">
        <f>IFERROR(__xludf.DUMMYFUNCTION("""COMPUTED_VALUE"""),"")</f>
        <v/>
      </c>
      <c r="M139" s="7" t="s">
        <v>110</v>
      </c>
      <c r="O139" s="7" t="str">
        <f>IFERROR(__xludf.DUMMYFUNCTION("""COMPUTED_VALUE"""),"")</f>
        <v/>
      </c>
      <c r="Q139" s="7" t="s">
        <v>110</v>
      </c>
      <c r="R139" s="7" t="str">
        <f>IFERROR(__xludf.DUMMYFUNCTION("""COMPUTED_VALUE"""),"")</f>
        <v/>
      </c>
    </row>
    <row r="140">
      <c r="B140" s="8"/>
      <c r="G140" s="7" t="str">
        <f>IFERROR(__xludf.DUMMYFUNCTION("""COMPUTED_VALUE"""),"")</f>
        <v/>
      </c>
      <c r="K140" s="7" t="str">
        <f>IFERROR(__xludf.DUMMYFUNCTION("""COMPUTED_VALUE"""),"")</f>
        <v/>
      </c>
      <c r="M140" s="7" t="s">
        <v>110</v>
      </c>
      <c r="O140" s="7" t="str">
        <f>IFERROR(__xludf.DUMMYFUNCTION("""COMPUTED_VALUE"""),"")</f>
        <v/>
      </c>
      <c r="Q140" s="7" t="s">
        <v>110</v>
      </c>
      <c r="R140" s="7" t="str">
        <f>IFERROR(__xludf.DUMMYFUNCTION("""COMPUTED_VALUE"""),"")</f>
        <v/>
      </c>
    </row>
    <row r="141">
      <c r="B141" s="8"/>
      <c r="G141" s="7" t="str">
        <f>IFERROR(__xludf.DUMMYFUNCTION("""COMPUTED_VALUE"""),"")</f>
        <v/>
      </c>
      <c r="K141" s="7" t="str">
        <f>IFERROR(__xludf.DUMMYFUNCTION("""COMPUTED_VALUE"""),"")</f>
        <v/>
      </c>
      <c r="M141" s="7" t="s">
        <v>110</v>
      </c>
      <c r="O141" s="7" t="str">
        <f>IFERROR(__xludf.DUMMYFUNCTION("""COMPUTED_VALUE"""),"")</f>
        <v/>
      </c>
      <c r="Q141" s="7" t="s">
        <v>110</v>
      </c>
      <c r="R141" s="7" t="str">
        <f>IFERROR(__xludf.DUMMYFUNCTION("""COMPUTED_VALUE"""),"")</f>
        <v/>
      </c>
    </row>
    <row r="142">
      <c r="B142" s="8"/>
      <c r="G142" s="7" t="str">
        <f>IFERROR(__xludf.DUMMYFUNCTION("""COMPUTED_VALUE"""),"")</f>
        <v/>
      </c>
      <c r="K142" s="7" t="str">
        <f>IFERROR(__xludf.DUMMYFUNCTION("""COMPUTED_VALUE"""),"")</f>
        <v/>
      </c>
      <c r="M142" s="7" t="s">
        <v>110</v>
      </c>
      <c r="O142" s="7" t="str">
        <f>IFERROR(__xludf.DUMMYFUNCTION("""COMPUTED_VALUE"""),"")</f>
        <v/>
      </c>
      <c r="Q142" s="7" t="s">
        <v>110</v>
      </c>
      <c r="R142" s="7" t="str">
        <f>IFERROR(__xludf.DUMMYFUNCTION("""COMPUTED_VALUE"""),"")</f>
        <v/>
      </c>
    </row>
    <row r="143">
      <c r="B143" s="8"/>
      <c r="G143" s="7" t="str">
        <f>IFERROR(__xludf.DUMMYFUNCTION("""COMPUTED_VALUE"""),"")</f>
        <v/>
      </c>
      <c r="K143" s="7" t="str">
        <f>IFERROR(__xludf.DUMMYFUNCTION("""COMPUTED_VALUE"""),"")</f>
        <v/>
      </c>
      <c r="M143" s="7" t="s">
        <v>110</v>
      </c>
      <c r="O143" s="7" t="str">
        <f>IFERROR(__xludf.DUMMYFUNCTION("""COMPUTED_VALUE"""),"")</f>
        <v/>
      </c>
      <c r="Q143" s="7" t="s">
        <v>110</v>
      </c>
      <c r="R143" s="7" t="str">
        <f>IFERROR(__xludf.DUMMYFUNCTION("""COMPUTED_VALUE"""),"")</f>
        <v/>
      </c>
    </row>
    <row r="144">
      <c r="B144" s="8"/>
      <c r="G144" s="7" t="str">
        <f>IFERROR(__xludf.DUMMYFUNCTION("""COMPUTED_VALUE"""),"")</f>
        <v/>
      </c>
      <c r="K144" s="7" t="str">
        <f>IFERROR(__xludf.DUMMYFUNCTION("""COMPUTED_VALUE"""),"")</f>
        <v/>
      </c>
      <c r="M144" s="7" t="s">
        <v>110</v>
      </c>
      <c r="O144" s="7" t="str">
        <f>IFERROR(__xludf.DUMMYFUNCTION("""COMPUTED_VALUE"""),"")</f>
        <v/>
      </c>
      <c r="Q144" s="7" t="s">
        <v>110</v>
      </c>
      <c r="R144" s="7" t="str">
        <f>IFERROR(__xludf.DUMMYFUNCTION("""COMPUTED_VALUE"""),"")</f>
        <v/>
      </c>
    </row>
    <row r="145">
      <c r="B145" s="8"/>
      <c r="G145" s="7" t="str">
        <f>IFERROR(__xludf.DUMMYFUNCTION("""COMPUTED_VALUE"""),"")</f>
        <v/>
      </c>
      <c r="K145" s="7" t="str">
        <f>IFERROR(__xludf.DUMMYFUNCTION("""COMPUTED_VALUE"""),"")</f>
        <v/>
      </c>
      <c r="M145" s="7" t="s">
        <v>110</v>
      </c>
      <c r="O145" s="7" t="str">
        <f>IFERROR(__xludf.DUMMYFUNCTION("""COMPUTED_VALUE"""),"")</f>
        <v/>
      </c>
      <c r="Q145" s="7" t="s">
        <v>110</v>
      </c>
      <c r="R145" s="7" t="str">
        <f>IFERROR(__xludf.DUMMYFUNCTION("""COMPUTED_VALUE"""),"")</f>
        <v/>
      </c>
    </row>
    <row r="146">
      <c r="B146" s="8"/>
      <c r="G146" s="7" t="str">
        <f>IFERROR(__xludf.DUMMYFUNCTION("""COMPUTED_VALUE"""),"")</f>
        <v/>
      </c>
      <c r="K146" s="7" t="str">
        <f>IFERROR(__xludf.DUMMYFUNCTION("""COMPUTED_VALUE"""),"")</f>
        <v/>
      </c>
      <c r="M146" s="7" t="s">
        <v>110</v>
      </c>
      <c r="O146" s="7" t="str">
        <f>IFERROR(__xludf.DUMMYFUNCTION("""COMPUTED_VALUE"""),"")</f>
        <v/>
      </c>
      <c r="Q146" s="7" t="s">
        <v>110</v>
      </c>
      <c r="R146" s="7" t="str">
        <f>IFERROR(__xludf.DUMMYFUNCTION("""COMPUTED_VALUE"""),"")</f>
        <v/>
      </c>
    </row>
    <row r="147">
      <c r="B147" s="8"/>
      <c r="G147" s="7" t="str">
        <f>IFERROR(__xludf.DUMMYFUNCTION("""COMPUTED_VALUE"""),"")</f>
        <v/>
      </c>
      <c r="K147" s="7" t="str">
        <f>IFERROR(__xludf.DUMMYFUNCTION("""COMPUTED_VALUE"""),"")</f>
        <v/>
      </c>
      <c r="M147" s="7" t="s">
        <v>110</v>
      </c>
      <c r="O147" s="7" t="str">
        <f>IFERROR(__xludf.DUMMYFUNCTION("""COMPUTED_VALUE"""),"")</f>
        <v/>
      </c>
      <c r="Q147" s="7" t="s">
        <v>110</v>
      </c>
      <c r="R147" s="7" t="str">
        <f>IFERROR(__xludf.DUMMYFUNCTION("""COMPUTED_VALUE"""),"")</f>
        <v/>
      </c>
    </row>
    <row r="148">
      <c r="B148" s="8"/>
      <c r="G148" s="7" t="str">
        <f>IFERROR(__xludf.DUMMYFUNCTION("""COMPUTED_VALUE"""),"")</f>
        <v/>
      </c>
      <c r="K148" s="7" t="str">
        <f>IFERROR(__xludf.DUMMYFUNCTION("""COMPUTED_VALUE"""),"")</f>
        <v/>
      </c>
      <c r="M148" s="7" t="s">
        <v>110</v>
      </c>
      <c r="O148" s="7" t="str">
        <f>IFERROR(__xludf.DUMMYFUNCTION("""COMPUTED_VALUE"""),"")</f>
        <v/>
      </c>
      <c r="Q148" s="7" t="s">
        <v>110</v>
      </c>
      <c r="R148" s="7" t="str">
        <f>IFERROR(__xludf.DUMMYFUNCTION("""COMPUTED_VALUE"""),"")</f>
        <v/>
      </c>
    </row>
    <row r="149">
      <c r="B149" s="8"/>
      <c r="G149" s="7" t="str">
        <f>IFERROR(__xludf.DUMMYFUNCTION("""COMPUTED_VALUE"""),"")</f>
        <v/>
      </c>
      <c r="K149" s="7" t="str">
        <f>IFERROR(__xludf.DUMMYFUNCTION("""COMPUTED_VALUE"""),"")</f>
        <v/>
      </c>
      <c r="M149" s="7" t="s">
        <v>110</v>
      </c>
      <c r="O149" s="7" t="str">
        <f>IFERROR(__xludf.DUMMYFUNCTION("""COMPUTED_VALUE"""),"")</f>
        <v/>
      </c>
      <c r="Q149" s="7" t="s">
        <v>110</v>
      </c>
      <c r="R149" s="7" t="str">
        <f>IFERROR(__xludf.DUMMYFUNCTION("""COMPUTED_VALUE"""),"")</f>
        <v/>
      </c>
    </row>
    <row r="150">
      <c r="B150" s="8"/>
      <c r="G150" s="7" t="str">
        <f>IFERROR(__xludf.DUMMYFUNCTION("""COMPUTED_VALUE"""),"")</f>
        <v/>
      </c>
      <c r="K150" s="7" t="str">
        <f>IFERROR(__xludf.DUMMYFUNCTION("""COMPUTED_VALUE"""),"")</f>
        <v/>
      </c>
      <c r="M150" s="7" t="s">
        <v>110</v>
      </c>
      <c r="O150" s="7" t="str">
        <f>IFERROR(__xludf.DUMMYFUNCTION("""COMPUTED_VALUE"""),"")</f>
        <v/>
      </c>
      <c r="Q150" s="7" t="s">
        <v>110</v>
      </c>
      <c r="R150" s="7" t="str">
        <f>IFERROR(__xludf.DUMMYFUNCTION("""COMPUTED_VALUE"""),"")</f>
        <v/>
      </c>
    </row>
    <row r="151">
      <c r="B151" s="8"/>
      <c r="G151" s="7" t="str">
        <f>IFERROR(__xludf.DUMMYFUNCTION("""COMPUTED_VALUE"""),"")</f>
        <v/>
      </c>
      <c r="K151" s="7" t="str">
        <f>IFERROR(__xludf.DUMMYFUNCTION("""COMPUTED_VALUE"""),"")</f>
        <v/>
      </c>
      <c r="M151" s="7" t="s">
        <v>110</v>
      </c>
      <c r="O151" s="7" t="str">
        <f>IFERROR(__xludf.DUMMYFUNCTION("""COMPUTED_VALUE"""),"")</f>
        <v/>
      </c>
      <c r="Q151" s="7" t="s">
        <v>110</v>
      </c>
      <c r="R151" s="7" t="str">
        <f>IFERROR(__xludf.DUMMYFUNCTION("""COMPUTED_VALUE"""),"")</f>
        <v/>
      </c>
    </row>
    <row r="152">
      <c r="B152" s="8"/>
      <c r="G152" s="7" t="str">
        <f>IFERROR(__xludf.DUMMYFUNCTION("""COMPUTED_VALUE"""),"")</f>
        <v/>
      </c>
      <c r="K152" s="7" t="str">
        <f>IFERROR(__xludf.DUMMYFUNCTION("""COMPUTED_VALUE"""),"")</f>
        <v/>
      </c>
      <c r="M152" s="7" t="s">
        <v>110</v>
      </c>
      <c r="O152" s="7" t="str">
        <f>IFERROR(__xludf.DUMMYFUNCTION("""COMPUTED_VALUE"""),"")</f>
        <v/>
      </c>
      <c r="Q152" s="7" t="s">
        <v>110</v>
      </c>
      <c r="R152" s="7" t="str">
        <f>IFERROR(__xludf.DUMMYFUNCTION("""COMPUTED_VALUE"""),"")</f>
        <v/>
      </c>
    </row>
    <row r="153">
      <c r="B153" s="8"/>
      <c r="G153" s="7" t="str">
        <f>IFERROR(__xludf.DUMMYFUNCTION("""COMPUTED_VALUE"""),"")</f>
        <v/>
      </c>
      <c r="K153" s="7" t="str">
        <f>IFERROR(__xludf.DUMMYFUNCTION("""COMPUTED_VALUE"""),"")</f>
        <v/>
      </c>
      <c r="M153" s="7" t="s">
        <v>110</v>
      </c>
      <c r="O153" s="7" t="str">
        <f>IFERROR(__xludf.DUMMYFUNCTION("""COMPUTED_VALUE"""),"")</f>
        <v/>
      </c>
      <c r="Q153" s="7" t="s">
        <v>110</v>
      </c>
      <c r="R153" s="7" t="str">
        <f>IFERROR(__xludf.DUMMYFUNCTION("""COMPUTED_VALUE"""),"")</f>
        <v/>
      </c>
    </row>
    <row r="154">
      <c r="B154" s="8"/>
      <c r="G154" s="7" t="str">
        <f>IFERROR(__xludf.DUMMYFUNCTION("""COMPUTED_VALUE"""),"")</f>
        <v/>
      </c>
      <c r="K154" s="7" t="str">
        <f>IFERROR(__xludf.DUMMYFUNCTION("""COMPUTED_VALUE"""),"")</f>
        <v/>
      </c>
      <c r="M154" s="7" t="s">
        <v>110</v>
      </c>
      <c r="O154" s="7" t="str">
        <f>IFERROR(__xludf.DUMMYFUNCTION("""COMPUTED_VALUE"""),"")</f>
        <v/>
      </c>
      <c r="Q154" s="7" t="s">
        <v>110</v>
      </c>
      <c r="R154" s="7" t="str">
        <f>IFERROR(__xludf.DUMMYFUNCTION("""COMPUTED_VALUE"""),"")</f>
        <v/>
      </c>
    </row>
    <row r="155">
      <c r="B155" s="8"/>
      <c r="G155" s="7" t="str">
        <f>IFERROR(__xludf.DUMMYFUNCTION("""COMPUTED_VALUE"""),"")</f>
        <v/>
      </c>
      <c r="K155" s="7" t="str">
        <f>IFERROR(__xludf.DUMMYFUNCTION("""COMPUTED_VALUE"""),"")</f>
        <v/>
      </c>
      <c r="M155" s="7" t="s">
        <v>110</v>
      </c>
      <c r="O155" s="7" t="str">
        <f>IFERROR(__xludf.DUMMYFUNCTION("""COMPUTED_VALUE"""),"")</f>
        <v/>
      </c>
      <c r="Q155" s="7" t="s">
        <v>110</v>
      </c>
      <c r="R155" s="7" t="str">
        <f>IFERROR(__xludf.DUMMYFUNCTION("""COMPUTED_VALUE"""),"")</f>
        <v/>
      </c>
    </row>
    <row r="156">
      <c r="B156" s="8"/>
      <c r="G156" s="7" t="str">
        <f>IFERROR(__xludf.DUMMYFUNCTION("""COMPUTED_VALUE"""),"")</f>
        <v/>
      </c>
      <c r="K156" s="7" t="str">
        <f>IFERROR(__xludf.DUMMYFUNCTION("""COMPUTED_VALUE"""),"")</f>
        <v/>
      </c>
      <c r="M156" s="7" t="s">
        <v>110</v>
      </c>
      <c r="O156" s="7" t="str">
        <f>IFERROR(__xludf.DUMMYFUNCTION("""COMPUTED_VALUE"""),"")</f>
        <v/>
      </c>
      <c r="Q156" s="7" t="s">
        <v>110</v>
      </c>
      <c r="R156" s="7" t="str">
        <f>IFERROR(__xludf.DUMMYFUNCTION("""COMPUTED_VALUE"""),"")</f>
        <v/>
      </c>
    </row>
    <row r="157">
      <c r="B157" s="8"/>
      <c r="G157" s="7" t="str">
        <f>IFERROR(__xludf.DUMMYFUNCTION("""COMPUTED_VALUE"""),"")</f>
        <v/>
      </c>
      <c r="K157" s="7" t="str">
        <f>IFERROR(__xludf.DUMMYFUNCTION("""COMPUTED_VALUE"""),"")</f>
        <v/>
      </c>
      <c r="M157" s="7" t="s">
        <v>110</v>
      </c>
      <c r="O157" s="7" t="str">
        <f>IFERROR(__xludf.DUMMYFUNCTION("""COMPUTED_VALUE"""),"")</f>
        <v/>
      </c>
      <c r="Q157" s="7" t="s">
        <v>110</v>
      </c>
      <c r="R157" s="7" t="str">
        <f>IFERROR(__xludf.DUMMYFUNCTION("""COMPUTED_VALUE"""),"")</f>
        <v/>
      </c>
    </row>
    <row r="158">
      <c r="B158" s="8"/>
      <c r="G158" s="7" t="str">
        <f>IFERROR(__xludf.DUMMYFUNCTION("""COMPUTED_VALUE"""),"")</f>
        <v/>
      </c>
      <c r="K158" s="7" t="str">
        <f>IFERROR(__xludf.DUMMYFUNCTION("""COMPUTED_VALUE"""),"")</f>
        <v/>
      </c>
      <c r="M158" s="7" t="s">
        <v>110</v>
      </c>
      <c r="O158" s="7" t="str">
        <f>IFERROR(__xludf.DUMMYFUNCTION("""COMPUTED_VALUE"""),"")</f>
        <v/>
      </c>
      <c r="Q158" s="7" t="s">
        <v>110</v>
      </c>
      <c r="R158" s="7" t="str">
        <f>IFERROR(__xludf.DUMMYFUNCTION("""COMPUTED_VALUE"""),"")</f>
        <v/>
      </c>
    </row>
    <row r="159">
      <c r="B159" s="8"/>
      <c r="G159" s="7" t="str">
        <f>IFERROR(__xludf.DUMMYFUNCTION("""COMPUTED_VALUE"""),"")</f>
        <v/>
      </c>
      <c r="K159" s="7" t="str">
        <f>IFERROR(__xludf.DUMMYFUNCTION("""COMPUTED_VALUE"""),"")</f>
        <v/>
      </c>
      <c r="M159" s="7" t="s">
        <v>110</v>
      </c>
      <c r="O159" s="7" t="str">
        <f>IFERROR(__xludf.DUMMYFUNCTION("""COMPUTED_VALUE"""),"")</f>
        <v/>
      </c>
      <c r="Q159" s="7" t="s">
        <v>110</v>
      </c>
      <c r="R159" s="7" t="str">
        <f>IFERROR(__xludf.DUMMYFUNCTION("""COMPUTED_VALUE"""),"")</f>
        <v/>
      </c>
    </row>
    <row r="160">
      <c r="B160" s="8"/>
      <c r="G160" s="7" t="str">
        <f>IFERROR(__xludf.DUMMYFUNCTION("""COMPUTED_VALUE"""),"")</f>
        <v/>
      </c>
      <c r="K160" s="7" t="str">
        <f>IFERROR(__xludf.DUMMYFUNCTION("""COMPUTED_VALUE"""),"")</f>
        <v/>
      </c>
      <c r="M160" s="7" t="s">
        <v>110</v>
      </c>
      <c r="O160" s="7" t="str">
        <f>IFERROR(__xludf.DUMMYFUNCTION("""COMPUTED_VALUE"""),"")</f>
        <v/>
      </c>
      <c r="Q160" s="7" t="s">
        <v>110</v>
      </c>
      <c r="R160" s="7" t="str">
        <f>IFERROR(__xludf.DUMMYFUNCTION("""COMPUTED_VALUE"""),"")</f>
        <v/>
      </c>
    </row>
    <row r="161">
      <c r="B161" s="8"/>
      <c r="G161" s="7" t="str">
        <f>IFERROR(__xludf.DUMMYFUNCTION("""COMPUTED_VALUE"""),"")</f>
        <v/>
      </c>
      <c r="K161" s="7" t="str">
        <f>IFERROR(__xludf.DUMMYFUNCTION("""COMPUTED_VALUE"""),"")</f>
        <v/>
      </c>
      <c r="M161" s="7" t="s">
        <v>110</v>
      </c>
      <c r="O161" s="7" t="str">
        <f>IFERROR(__xludf.DUMMYFUNCTION("""COMPUTED_VALUE"""),"")</f>
        <v/>
      </c>
      <c r="Q161" s="7" t="s">
        <v>110</v>
      </c>
      <c r="R161" s="7" t="str">
        <f>IFERROR(__xludf.DUMMYFUNCTION("""COMPUTED_VALUE"""),"")</f>
        <v/>
      </c>
    </row>
    <row r="162">
      <c r="B162" s="8"/>
      <c r="G162" s="7" t="str">
        <f>IFERROR(__xludf.DUMMYFUNCTION("""COMPUTED_VALUE"""),"")</f>
        <v/>
      </c>
      <c r="K162" s="7" t="str">
        <f>IFERROR(__xludf.DUMMYFUNCTION("""COMPUTED_VALUE"""),"")</f>
        <v/>
      </c>
      <c r="M162" s="7" t="s">
        <v>110</v>
      </c>
      <c r="O162" s="7" t="str">
        <f>IFERROR(__xludf.DUMMYFUNCTION("""COMPUTED_VALUE"""),"")</f>
        <v/>
      </c>
      <c r="Q162" s="7" t="s">
        <v>110</v>
      </c>
      <c r="R162" s="7" t="str">
        <f>IFERROR(__xludf.DUMMYFUNCTION("""COMPUTED_VALUE"""),"")</f>
        <v/>
      </c>
    </row>
    <row r="163">
      <c r="B163" s="8"/>
      <c r="G163" s="7" t="str">
        <f>IFERROR(__xludf.DUMMYFUNCTION("""COMPUTED_VALUE"""),"")</f>
        <v/>
      </c>
      <c r="K163" s="7" t="str">
        <f>IFERROR(__xludf.DUMMYFUNCTION("""COMPUTED_VALUE"""),"")</f>
        <v/>
      </c>
      <c r="M163" s="7" t="s">
        <v>110</v>
      </c>
      <c r="O163" s="7" t="str">
        <f>IFERROR(__xludf.DUMMYFUNCTION("""COMPUTED_VALUE"""),"")</f>
        <v/>
      </c>
      <c r="Q163" s="7" t="s">
        <v>110</v>
      </c>
      <c r="R163" s="7" t="str">
        <f>IFERROR(__xludf.DUMMYFUNCTION("""COMPUTED_VALUE"""),"")</f>
        <v/>
      </c>
    </row>
    <row r="164">
      <c r="B164" s="8"/>
      <c r="G164" s="7" t="str">
        <f>IFERROR(__xludf.DUMMYFUNCTION("""COMPUTED_VALUE"""),"")</f>
        <v/>
      </c>
      <c r="K164" s="7" t="str">
        <f>IFERROR(__xludf.DUMMYFUNCTION("""COMPUTED_VALUE"""),"")</f>
        <v/>
      </c>
      <c r="M164" s="7" t="s">
        <v>110</v>
      </c>
      <c r="O164" s="7" t="str">
        <f>IFERROR(__xludf.DUMMYFUNCTION("""COMPUTED_VALUE"""),"")</f>
        <v/>
      </c>
      <c r="Q164" s="7" t="s">
        <v>110</v>
      </c>
      <c r="R164" s="7" t="str">
        <f>IFERROR(__xludf.DUMMYFUNCTION("""COMPUTED_VALUE"""),"")</f>
        <v/>
      </c>
    </row>
    <row r="165">
      <c r="B165" s="8"/>
      <c r="G165" s="7" t="str">
        <f>IFERROR(__xludf.DUMMYFUNCTION("""COMPUTED_VALUE"""),"")</f>
        <v/>
      </c>
      <c r="K165" s="7" t="str">
        <f>IFERROR(__xludf.DUMMYFUNCTION("""COMPUTED_VALUE"""),"")</f>
        <v/>
      </c>
      <c r="M165" s="7" t="s">
        <v>110</v>
      </c>
      <c r="O165" s="7" t="str">
        <f>IFERROR(__xludf.DUMMYFUNCTION("""COMPUTED_VALUE"""),"")</f>
        <v/>
      </c>
      <c r="Q165" s="7" t="s">
        <v>110</v>
      </c>
      <c r="R165" s="7" t="str">
        <f>IFERROR(__xludf.DUMMYFUNCTION("""COMPUTED_VALUE"""),"")</f>
        <v/>
      </c>
    </row>
    <row r="166">
      <c r="B166" s="8"/>
      <c r="G166" s="7" t="str">
        <f>IFERROR(__xludf.DUMMYFUNCTION("""COMPUTED_VALUE"""),"")</f>
        <v/>
      </c>
      <c r="K166" s="7" t="str">
        <f>IFERROR(__xludf.DUMMYFUNCTION("""COMPUTED_VALUE"""),"")</f>
        <v/>
      </c>
      <c r="M166" s="7" t="s">
        <v>110</v>
      </c>
      <c r="O166" s="7" t="str">
        <f>IFERROR(__xludf.DUMMYFUNCTION("""COMPUTED_VALUE"""),"")</f>
        <v/>
      </c>
      <c r="Q166" s="7" t="s">
        <v>110</v>
      </c>
      <c r="R166" s="7" t="str">
        <f>IFERROR(__xludf.DUMMYFUNCTION("""COMPUTED_VALUE"""),"")</f>
        <v/>
      </c>
    </row>
    <row r="167">
      <c r="B167" s="8"/>
      <c r="G167" s="7" t="str">
        <f>IFERROR(__xludf.DUMMYFUNCTION("""COMPUTED_VALUE"""),"")</f>
        <v/>
      </c>
      <c r="K167" s="7" t="str">
        <f>IFERROR(__xludf.DUMMYFUNCTION("""COMPUTED_VALUE"""),"")</f>
        <v/>
      </c>
      <c r="M167" s="7" t="s">
        <v>110</v>
      </c>
      <c r="O167" s="7" t="str">
        <f>IFERROR(__xludf.DUMMYFUNCTION("""COMPUTED_VALUE"""),"")</f>
        <v/>
      </c>
      <c r="Q167" s="7" t="s">
        <v>110</v>
      </c>
      <c r="R167" s="7" t="str">
        <f>IFERROR(__xludf.DUMMYFUNCTION("""COMPUTED_VALUE"""),"")</f>
        <v/>
      </c>
    </row>
    <row r="168">
      <c r="B168" s="8"/>
      <c r="G168" s="7" t="str">
        <f>IFERROR(__xludf.DUMMYFUNCTION("""COMPUTED_VALUE"""),"")</f>
        <v/>
      </c>
      <c r="K168" s="7" t="str">
        <f>IFERROR(__xludf.DUMMYFUNCTION("""COMPUTED_VALUE"""),"")</f>
        <v/>
      </c>
      <c r="M168" s="7" t="s">
        <v>110</v>
      </c>
      <c r="O168" s="7" t="str">
        <f>IFERROR(__xludf.DUMMYFUNCTION("""COMPUTED_VALUE"""),"")</f>
        <v/>
      </c>
      <c r="Q168" s="7" t="s">
        <v>110</v>
      </c>
      <c r="R168" s="7" t="str">
        <f>IFERROR(__xludf.DUMMYFUNCTION("""COMPUTED_VALUE"""),"")</f>
        <v/>
      </c>
    </row>
    <row r="169">
      <c r="B169" s="8"/>
      <c r="G169" s="7" t="str">
        <f>IFERROR(__xludf.DUMMYFUNCTION("""COMPUTED_VALUE"""),"")</f>
        <v/>
      </c>
      <c r="K169" s="7" t="str">
        <f>IFERROR(__xludf.DUMMYFUNCTION("""COMPUTED_VALUE"""),"")</f>
        <v/>
      </c>
      <c r="M169" s="7" t="s">
        <v>110</v>
      </c>
      <c r="O169" s="7" t="str">
        <f>IFERROR(__xludf.DUMMYFUNCTION("""COMPUTED_VALUE"""),"")</f>
        <v/>
      </c>
      <c r="Q169" s="7" t="s">
        <v>110</v>
      </c>
      <c r="R169" s="7" t="str">
        <f>IFERROR(__xludf.DUMMYFUNCTION("""COMPUTED_VALUE"""),"")</f>
        <v/>
      </c>
    </row>
    <row r="170">
      <c r="B170" s="8"/>
      <c r="G170" s="7" t="str">
        <f>IFERROR(__xludf.DUMMYFUNCTION("""COMPUTED_VALUE"""),"")</f>
        <v/>
      </c>
      <c r="K170" s="7" t="str">
        <f>IFERROR(__xludf.DUMMYFUNCTION("""COMPUTED_VALUE"""),"")</f>
        <v/>
      </c>
      <c r="M170" s="7" t="s">
        <v>110</v>
      </c>
      <c r="O170" s="7" t="str">
        <f>IFERROR(__xludf.DUMMYFUNCTION("""COMPUTED_VALUE"""),"")</f>
        <v/>
      </c>
      <c r="Q170" s="7" t="s">
        <v>110</v>
      </c>
      <c r="R170" s="7" t="str">
        <f>IFERROR(__xludf.DUMMYFUNCTION("""COMPUTED_VALUE"""),"")</f>
        <v/>
      </c>
    </row>
    <row r="171">
      <c r="B171" s="8"/>
      <c r="G171" s="7" t="str">
        <f>IFERROR(__xludf.DUMMYFUNCTION("""COMPUTED_VALUE"""),"")</f>
        <v/>
      </c>
      <c r="K171" s="7" t="str">
        <f>IFERROR(__xludf.DUMMYFUNCTION("""COMPUTED_VALUE"""),"")</f>
        <v/>
      </c>
      <c r="M171" s="7" t="s">
        <v>110</v>
      </c>
      <c r="O171" s="7" t="str">
        <f>IFERROR(__xludf.DUMMYFUNCTION("""COMPUTED_VALUE"""),"")</f>
        <v/>
      </c>
      <c r="Q171" s="7" t="s">
        <v>110</v>
      </c>
      <c r="R171" s="7" t="str">
        <f>IFERROR(__xludf.DUMMYFUNCTION("""COMPUTED_VALUE"""),"")</f>
        <v/>
      </c>
    </row>
    <row r="172">
      <c r="B172" s="8"/>
      <c r="G172" s="7" t="str">
        <f>IFERROR(__xludf.DUMMYFUNCTION("""COMPUTED_VALUE"""),"")</f>
        <v/>
      </c>
      <c r="K172" s="7" t="str">
        <f>IFERROR(__xludf.DUMMYFUNCTION("""COMPUTED_VALUE"""),"")</f>
        <v/>
      </c>
      <c r="M172" s="7" t="s">
        <v>110</v>
      </c>
      <c r="O172" s="7" t="str">
        <f>IFERROR(__xludf.DUMMYFUNCTION("""COMPUTED_VALUE"""),"")</f>
        <v/>
      </c>
      <c r="Q172" s="7" t="s">
        <v>110</v>
      </c>
      <c r="R172" s="7" t="str">
        <f>IFERROR(__xludf.DUMMYFUNCTION("""COMPUTED_VALUE"""),"")</f>
        <v/>
      </c>
    </row>
    <row r="173">
      <c r="B173" s="8"/>
      <c r="G173" s="7" t="str">
        <f>IFERROR(__xludf.DUMMYFUNCTION("""COMPUTED_VALUE"""),"")</f>
        <v/>
      </c>
      <c r="K173" s="7" t="str">
        <f>IFERROR(__xludf.DUMMYFUNCTION("""COMPUTED_VALUE"""),"")</f>
        <v/>
      </c>
      <c r="M173" s="7" t="s">
        <v>110</v>
      </c>
      <c r="O173" s="7" t="str">
        <f>IFERROR(__xludf.DUMMYFUNCTION("""COMPUTED_VALUE"""),"")</f>
        <v/>
      </c>
      <c r="Q173" s="7" t="s">
        <v>110</v>
      </c>
      <c r="R173" s="7" t="str">
        <f>IFERROR(__xludf.DUMMYFUNCTION("""COMPUTED_VALUE"""),"")</f>
        <v/>
      </c>
    </row>
    <row r="174">
      <c r="B174" s="8"/>
      <c r="G174" s="7" t="str">
        <f>IFERROR(__xludf.DUMMYFUNCTION("""COMPUTED_VALUE"""),"")</f>
        <v/>
      </c>
      <c r="K174" s="7" t="str">
        <f>IFERROR(__xludf.DUMMYFUNCTION("""COMPUTED_VALUE"""),"")</f>
        <v/>
      </c>
      <c r="M174" s="7" t="s">
        <v>110</v>
      </c>
      <c r="O174" s="7" t="str">
        <f>IFERROR(__xludf.DUMMYFUNCTION("""COMPUTED_VALUE"""),"")</f>
        <v/>
      </c>
      <c r="Q174" s="7" t="s">
        <v>110</v>
      </c>
      <c r="R174" s="7" t="str">
        <f>IFERROR(__xludf.DUMMYFUNCTION("""COMPUTED_VALUE"""),"")</f>
        <v/>
      </c>
    </row>
    <row r="175">
      <c r="B175" s="8"/>
      <c r="G175" s="7" t="str">
        <f>IFERROR(__xludf.DUMMYFUNCTION("""COMPUTED_VALUE"""),"")</f>
        <v/>
      </c>
      <c r="K175" s="7" t="str">
        <f>IFERROR(__xludf.DUMMYFUNCTION("""COMPUTED_VALUE"""),"")</f>
        <v/>
      </c>
      <c r="M175" s="7" t="s">
        <v>110</v>
      </c>
      <c r="O175" s="7" t="str">
        <f>IFERROR(__xludf.DUMMYFUNCTION("""COMPUTED_VALUE"""),"")</f>
        <v/>
      </c>
      <c r="Q175" s="7" t="s">
        <v>110</v>
      </c>
      <c r="R175" s="7" t="str">
        <f>IFERROR(__xludf.DUMMYFUNCTION("""COMPUTED_VALUE"""),"")</f>
        <v/>
      </c>
    </row>
    <row r="176">
      <c r="B176" s="8"/>
      <c r="G176" s="7" t="str">
        <f>IFERROR(__xludf.DUMMYFUNCTION("""COMPUTED_VALUE"""),"")</f>
        <v/>
      </c>
      <c r="K176" s="7" t="str">
        <f>IFERROR(__xludf.DUMMYFUNCTION("""COMPUTED_VALUE"""),"")</f>
        <v/>
      </c>
      <c r="M176" s="7" t="s">
        <v>110</v>
      </c>
      <c r="O176" s="7" t="str">
        <f>IFERROR(__xludf.DUMMYFUNCTION("""COMPUTED_VALUE"""),"")</f>
        <v/>
      </c>
      <c r="Q176" s="7" t="s">
        <v>110</v>
      </c>
      <c r="R176" s="7" t="str">
        <f>IFERROR(__xludf.DUMMYFUNCTION("""COMPUTED_VALUE"""),"")</f>
        <v/>
      </c>
    </row>
    <row r="177">
      <c r="B177" s="8"/>
      <c r="G177" s="7" t="str">
        <f>IFERROR(__xludf.DUMMYFUNCTION("""COMPUTED_VALUE"""),"")</f>
        <v/>
      </c>
      <c r="K177" s="7" t="str">
        <f>IFERROR(__xludf.DUMMYFUNCTION("""COMPUTED_VALUE"""),"")</f>
        <v/>
      </c>
      <c r="M177" s="7" t="s">
        <v>110</v>
      </c>
      <c r="O177" s="7" t="str">
        <f>IFERROR(__xludf.DUMMYFUNCTION("""COMPUTED_VALUE"""),"")</f>
        <v/>
      </c>
      <c r="Q177" s="7" t="s">
        <v>110</v>
      </c>
      <c r="R177" s="7" t="str">
        <f>IFERROR(__xludf.DUMMYFUNCTION("""COMPUTED_VALUE"""),"")</f>
        <v/>
      </c>
    </row>
    <row r="178">
      <c r="B178" s="8"/>
      <c r="G178" s="7" t="str">
        <f>IFERROR(__xludf.DUMMYFUNCTION("""COMPUTED_VALUE"""),"")</f>
        <v/>
      </c>
      <c r="K178" s="7" t="str">
        <f>IFERROR(__xludf.DUMMYFUNCTION("""COMPUTED_VALUE"""),"")</f>
        <v/>
      </c>
      <c r="M178" s="7" t="s">
        <v>110</v>
      </c>
      <c r="O178" s="7" t="str">
        <f>IFERROR(__xludf.DUMMYFUNCTION("""COMPUTED_VALUE"""),"")</f>
        <v/>
      </c>
      <c r="Q178" s="7" t="s">
        <v>110</v>
      </c>
      <c r="R178" s="7" t="str">
        <f>IFERROR(__xludf.DUMMYFUNCTION("""COMPUTED_VALUE"""),"")</f>
        <v/>
      </c>
    </row>
    <row r="179">
      <c r="B179" s="8"/>
      <c r="G179" s="7" t="str">
        <f>IFERROR(__xludf.DUMMYFUNCTION("""COMPUTED_VALUE"""),"")</f>
        <v/>
      </c>
      <c r="K179" s="7" t="str">
        <f>IFERROR(__xludf.DUMMYFUNCTION("""COMPUTED_VALUE"""),"")</f>
        <v/>
      </c>
      <c r="M179" s="7" t="s">
        <v>110</v>
      </c>
      <c r="O179" s="7" t="str">
        <f>IFERROR(__xludf.DUMMYFUNCTION("""COMPUTED_VALUE"""),"")</f>
        <v/>
      </c>
      <c r="Q179" s="7" t="s">
        <v>110</v>
      </c>
      <c r="R179" s="7" t="str">
        <f>IFERROR(__xludf.DUMMYFUNCTION("""COMPUTED_VALUE"""),"")</f>
        <v/>
      </c>
    </row>
    <row r="180">
      <c r="B180" s="8"/>
      <c r="G180" s="7" t="str">
        <f>IFERROR(__xludf.DUMMYFUNCTION("""COMPUTED_VALUE"""),"")</f>
        <v/>
      </c>
      <c r="K180" s="7" t="str">
        <f>IFERROR(__xludf.DUMMYFUNCTION("""COMPUTED_VALUE"""),"")</f>
        <v/>
      </c>
      <c r="M180" s="7" t="s">
        <v>110</v>
      </c>
      <c r="O180" s="7" t="str">
        <f>IFERROR(__xludf.DUMMYFUNCTION("""COMPUTED_VALUE"""),"")</f>
        <v/>
      </c>
      <c r="Q180" s="7" t="s">
        <v>110</v>
      </c>
      <c r="R180" s="7" t="str">
        <f>IFERROR(__xludf.DUMMYFUNCTION("""COMPUTED_VALUE"""),"")</f>
        <v/>
      </c>
    </row>
    <row r="181">
      <c r="B181" s="8"/>
      <c r="G181" s="7" t="str">
        <f>IFERROR(__xludf.DUMMYFUNCTION("""COMPUTED_VALUE"""),"")</f>
        <v/>
      </c>
      <c r="K181" s="7" t="str">
        <f>IFERROR(__xludf.DUMMYFUNCTION("""COMPUTED_VALUE"""),"")</f>
        <v/>
      </c>
      <c r="M181" s="7" t="s">
        <v>110</v>
      </c>
      <c r="O181" s="7" t="str">
        <f>IFERROR(__xludf.DUMMYFUNCTION("""COMPUTED_VALUE"""),"")</f>
        <v/>
      </c>
      <c r="Q181" s="7" t="s">
        <v>110</v>
      </c>
      <c r="R181" s="7" t="str">
        <f>IFERROR(__xludf.DUMMYFUNCTION("""COMPUTED_VALUE"""),"")</f>
        <v/>
      </c>
    </row>
    <row r="182">
      <c r="B182" s="8"/>
      <c r="G182" s="7" t="str">
        <f>IFERROR(__xludf.DUMMYFUNCTION("""COMPUTED_VALUE"""),"")</f>
        <v/>
      </c>
      <c r="K182" s="7" t="str">
        <f>IFERROR(__xludf.DUMMYFUNCTION("""COMPUTED_VALUE"""),"")</f>
        <v/>
      </c>
      <c r="M182" s="7" t="s">
        <v>110</v>
      </c>
      <c r="O182" s="7" t="str">
        <f>IFERROR(__xludf.DUMMYFUNCTION("""COMPUTED_VALUE"""),"")</f>
        <v/>
      </c>
      <c r="Q182" s="7" t="s">
        <v>110</v>
      </c>
      <c r="R182" s="7" t="str">
        <f>IFERROR(__xludf.DUMMYFUNCTION("""COMPUTED_VALUE"""),"")</f>
        <v/>
      </c>
    </row>
    <row r="183">
      <c r="B183" s="8"/>
      <c r="G183" s="7" t="str">
        <f>IFERROR(__xludf.DUMMYFUNCTION("""COMPUTED_VALUE"""),"")</f>
        <v/>
      </c>
      <c r="K183" s="7" t="str">
        <f>IFERROR(__xludf.DUMMYFUNCTION("""COMPUTED_VALUE"""),"")</f>
        <v/>
      </c>
      <c r="M183" s="7" t="s">
        <v>110</v>
      </c>
      <c r="O183" s="7" t="str">
        <f>IFERROR(__xludf.DUMMYFUNCTION("""COMPUTED_VALUE"""),"")</f>
        <v/>
      </c>
      <c r="Q183" s="7" t="s">
        <v>110</v>
      </c>
      <c r="R183" s="7" t="str">
        <f>IFERROR(__xludf.DUMMYFUNCTION("""COMPUTED_VALUE"""),"")</f>
        <v/>
      </c>
    </row>
    <row r="184">
      <c r="B184" s="8"/>
      <c r="G184" s="7" t="str">
        <f>IFERROR(__xludf.DUMMYFUNCTION("""COMPUTED_VALUE"""),"")</f>
        <v/>
      </c>
      <c r="K184" s="7" t="str">
        <f>IFERROR(__xludf.DUMMYFUNCTION("""COMPUTED_VALUE"""),"")</f>
        <v/>
      </c>
      <c r="M184" s="7" t="s">
        <v>110</v>
      </c>
      <c r="O184" s="7" t="str">
        <f>IFERROR(__xludf.DUMMYFUNCTION("""COMPUTED_VALUE"""),"")</f>
        <v/>
      </c>
      <c r="Q184" s="7" t="s">
        <v>110</v>
      </c>
      <c r="R184" s="7" t="str">
        <f>IFERROR(__xludf.DUMMYFUNCTION("""COMPUTED_VALUE"""),"")</f>
        <v/>
      </c>
    </row>
    <row r="185">
      <c r="B185" s="8"/>
      <c r="G185" s="7" t="str">
        <f>IFERROR(__xludf.DUMMYFUNCTION("""COMPUTED_VALUE"""),"")</f>
        <v/>
      </c>
      <c r="K185" s="7" t="str">
        <f>IFERROR(__xludf.DUMMYFUNCTION("""COMPUTED_VALUE"""),"")</f>
        <v/>
      </c>
      <c r="M185" s="7" t="s">
        <v>110</v>
      </c>
      <c r="O185" s="7" t="str">
        <f>IFERROR(__xludf.DUMMYFUNCTION("""COMPUTED_VALUE"""),"")</f>
        <v/>
      </c>
      <c r="Q185" s="7" t="s">
        <v>110</v>
      </c>
      <c r="R185" s="7" t="str">
        <f>IFERROR(__xludf.DUMMYFUNCTION("""COMPUTED_VALUE"""),"")</f>
        <v/>
      </c>
    </row>
    <row r="186">
      <c r="B186" s="8"/>
      <c r="G186" s="7" t="str">
        <f>IFERROR(__xludf.DUMMYFUNCTION("""COMPUTED_VALUE"""),"")</f>
        <v/>
      </c>
      <c r="K186" s="7" t="str">
        <f>IFERROR(__xludf.DUMMYFUNCTION("""COMPUTED_VALUE"""),"")</f>
        <v/>
      </c>
      <c r="M186" s="7" t="s">
        <v>110</v>
      </c>
      <c r="O186" s="7" t="str">
        <f>IFERROR(__xludf.DUMMYFUNCTION("""COMPUTED_VALUE"""),"")</f>
        <v/>
      </c>
      <c r="Q186" s="7" t="s">
        <v>110</v>
      </c>
      <c r="R186" s="7" t="str">
        <f>IFERROR(__xludf.DUMMYFUNCTION("""COMPUTED_VALUE"""),"")</f>
        <v/>
      </c>
    </row>
    <row r="187">
      <c r="B187" s="8"/>
      <c r="G187" s="7" t="str">
        <f>IFERROR(__xludf.DUMMYFUNCTION("""COMPUTED_VALUE"""),"")</f>
        <v/>
      </c>
      <c r="K187" s="7" t="str">
        <f>IFERROR(__xludf.DUMMYFUNCTION("""COMPUTED_VALUE"""),"")</f>
        <v/>
      </c>
      <c r="M187" s="7" t="s">
        <v>110</v>
      </c>
      <c r="O187" s="7" t="str">
        <f>IFERROR(__xludf.DUMMYFUNCTION("""COMPUTED_VALUE"""),"")</f>
        <v/>
      </c>
      <c r="Q187" s="7" t="s">
        <v>110</v>
      </c>
      <c r="R187" s="7" t="str">
        <f>IFERROR(__xludf.DUMMYFUNCTION("""COMPUTED_VALUE"""),"")</f>
        <v/>
      </c>
    </row>
    <row r="188">
      <c r="B188" s="8"/>
      <c r="G188" s="7" t="str">
        <f>IFERROR(__xludf.DUMMYFUNCTION("""COMPUTED_VALUE"""),"")</f>
        <v/>
      </c>
      <c r="K188" s="7" t="str">
        <f>IFERROR(__xludf.DUMMYFUNCTION("""COMPUTED_VALUE"""),"")</f>
        <v/>
      </c>
      <c r="M188" s="7" t="s">
        <v>110</v>
      </c>
      <c r="O188" s="7" t="str">
        <f>IFERROR(__xludf.DUMMYFUNCTION("""COMPUTED_VALUE"""),"")</f>
        <v/>
      </c>
      <c r="Q188" s="7" t="s">
        <v>110</v>
      </c>
      <c r="R188" s="7" t="str">
        <f>IFERROR(__xludf.DUMMYFUNCTION("""COMPUTED_VALUE"""),"")</f>
        <v/>
      </c>
    </row>
    <row r="189">
      <c r="B189" s="8"/>
      <c r="G189" s="7" t="str">
        <f>IFERROR(__xludf.DUMMYFUNCTION("""COMPUTED_VALUE"""),"")</f>
        <v/>
      </c>
      <c r="K189" s="7" t="str">
        <f>IFERROR(__xludf.DUMMYFUNCTION("""COMPUTED_VALUE"""),"")</f>
        <v/>
      </c>
      <c r="M189" s="7" t="s">
        <v>110</v>
      </c>
      <c r="O189" s="7" t="str">
        <f>IFERROR(__xludf.DUMMYFUNCTION("""COMPUTED_VALUE"""),"")</f>
        <v/>
      </c>
      <c r="Q189" s="7" t="s">
        <v>110</v>
      </c>
      <c r="R189" s="7" t="str">
        <f>IFERROR(__xludf.DUMMYFUNCTION("""COMPUTED_VALUE"""),"")</f>
        <v/>
      </c>
    </row>
    <row r="190">
      <c r="B190" s="8"/>
      <c r="G190" s="7" t="str">
        <f>IFERROR(__xludf.DUMMYFUNCTION("""COMPUTED_VALUE"""),"")</f>
        <v/>
      </c>
      <c r="K190" s="7" t="str">
        <f>IFERROR(__xludf.DUMMYFUNCTION("""COMPUTED_VALUE"""),"")</f>
        <v/>
      </c>
      <c r="M190" s="7" t="s">
        <v>110</v>
      </c>
      <c r="O190" s="7" t="str">
        <f>IFERROR(__xludf.DUMMYFUNCTION("""COMPUTED_VALUE"""),"")</f>
        <v/>
      </c>
      <c r="Q190" s="7" t="s">
        <v>110</v>
      </c>
      <c r="R190" s="7" t="str">
        <f>IFERROR(__xludf.DUMMYFUNCTION("""COMPUTED_VALUE"""),"")</f>
        <v/>
      </c>
    </row>
    <row r="191">
      <c r="B191" s="8"/>
      <c r="G191" s="7" t="str">
        <f>IFERROR(__xludf.DUMMYFUNCTION("""COMPUTED_VALUE"""),"")</f>
        <v/>
      </c>
      <c r="K191" s="7" t="str">
        <f>IFERROR(__xludf.DUMMYFUNCTION("""COMPUTED_VALUE"""),"")</f>
        <v/>
      </c>
      <c r="M191" s="7" t="s">
        <v>110</v>
      </c>
      <c r="O191" s="7" t="str">
        <f>IFERROR(__xludf.DUMMYFUNCTION("""COMPUTED_VALUE"""),"")</f>
        <v/>
      </c>
      <c r="Q191" s="7" t="s">
        <v>110</v>
      </c>
      <c r="R191" s="7" t="str">
        <f>IFERROR(__xludf.DUMMYFUNCTION("""COMPUTED_VALUE"""),"")</f>
        <v/>
      </c>
    </row>
    <row r="192">
      <c r="B192" s="8"/>
      <c r="G192" s="7" t="str">
        <f>IFERROR(__xludf.DUMMYFUNCTION("""COMPUTED_VALUE"""),"")</f>
        <v/>
      </c>
      <c r="K192" s="7" t="str">
        <f>IFERROR(__xludf.DUMMYFUNCTION("""COMPUTED_VALUE"""),"")</f>
        <v/>
      </c>
      <c r="M192" s="7" t="s">
        <v>110</v>
      </c>
      <c r="O192" s="7" t="str">
        <f>IFERROR(__xludf.DUMMYFUNCTION("""COMPUTED_VALUE"""),"")</f>
        <v/>
      </c>
      <c r="Q192" s="7" t="s">
        <v>110</v>
      </c>
      <c r="R192" s="7" t="str">
        <f>IFERROR(__xludf.DUMMYFUNCTION("""COMPUTED_VALUE"""),"")</f>
        <v/>
      </c>
    </row>
    <row r="193">
      <c r="B193" s="8"/>
      <c r="G193" s="7" t="str">
        <f>IFERROR(__xludf.DUMMYFUNCTION("""COMPUTED_VALUE"""),"")</f>
        <v/>
      </c>
      <c r="K193" s="7" t="str">
        <f>IFERROR(__xludf.DUMMYFUNCTION("""COMPUTED_VALUE"""),"")</f>
        <v/>
      </c>
      <c r="M193" s="7" t="s">
        <v>110</v>
      </c>
      <c r="O193" s="7" t="str">
        <f>IFERROR(__xludf.DUMMYFUNCTION("""COMPUTED_VALUE"""),"")</f>
        <v/>
      </c>
      <c r="Q193" s="7" t="s">
        <v>110</v>
      </c>
      <c r="R193" s="7" t="str">
        <f>IFERROR(__xludf.DUMMYFUNCTION("""COMPUTED_VALUE"""),"")</f>
        <v/>
      </c>
    </row>
    <row r="194">
      <c r="B194" s="8"/>
      <c r="G194" s="7" t="str">
        <f>IFERROR(__xludf.DUMMYFUNCTION("""COMPUTED_VALUE"""),"")</f>
        <v/>
      </c>
      <c r="K194" s="7" t="str">
        <f>IFERROR(__xludf.DUMMYFUNCTION("""COMPUTED_VALUE"""),"")</f>
        <v/>
      </c>
      <c r="M194" s="7" t="s">
        <v>110</v>
      </c>
      <c r="O194" s="7" t="str">
        <f>IFERROR(__xludf.DUMMYFUNCTION("""COMPUTED_VALUE"""),"")</f>
        <v/>
      </c>
      <c r="Q194" s="7" t="s">
        <v>110</v>
      </c>
      <c r="R194" s="7" t="str">
        <f>IFERROR(__xludf.DUMMYFUNCTION("""COMPUTED_VALUE"""),"")</f>
        <v/>
      </c>
    </row>
    <row r="195">
      <c r="B195" s="8"/>
      <c r="G195" s="7" t="str">
        <f>IFERROR(__xludf.DUMMYFUNCTION("""COMPUTED_VALUE"""),"")</f>
        <v/>
      </c>
      <c r="K195" s="7" t="str">
        <f>IFERROR(__xludf.DUMMYFUNCTION("""COMPUTED_VALUE"""),"")</f>
        <v/>
      </c>
      <c r="M195" s="7" t="s">
        <v>110</v>
      </c>
      <c r="O195" s="7" t="str">
        <f>IFERROR(__xludf.DUMMYFUNCTION("""COMPUTED_VALUE"""),"")</f>
        <v/>
      </c>
      <c r="Q195" s="7" t="s">
        <v>110</v>
      </c>
      <c r="R195" s="7" t="str">
        <f>IFERROR(__xludf.DUMMYFUNCTION("""COMPUTED_VALUE"""),"")</f>
        <v/>
      </c>
    </row>
    <row r="196">
      <c r="B196" s="8"/>
      <c r="G196" s="7" t="str">
        <f>IFERROR(__xludf.DUMMYFUNCTION("""COMPUTED_VALUE"""),"")</f>
        <v/>
      </c>
      <c r="K196" s="7" t="str">
        <f>IFERROR(__xludf.DUMMYFUNCTION("""COMPUTED_VALUE"""),"")</f>
        <v/>
      </c>
      <c r="M196" s="7" t="s">
        <v>110</v>
      </c>
      <c r="O196" s="7" t="str">
        <f>IFERROR(__xludf.DUMMYFUNCTION("""COMPUTED_VALUE"""),"")</f>
        <v/>
      </c>
      <c r="Q196" s="7" t="s">
        <v>110</v>
      </c>
      <c r="R196" s="7" t="str">
        <f>IFERROR(__xludf.DUMMYFUNCTION("""COMPUTED_VALUE"""),"")</f>
        <v/>
      </c>
    </row>
    <row r="197">
      <c r="B197" s="8"/>
      <c r="G197" s="7" t="str">
        <f>IFERROR(__xludf.DUMMYFUNCTION("""COMPUTED_VALUE"""),"")</f>
        <v/>
      </c>
      <c r="K197" s="7" t="str">
        <f>IFERROR(__xludf.DUMMYFUNCTION("""COMPUTED_VALUE"""),"")</f>
        <v/>
      </c>
      <c r="M197" s="7" t="s">
        <v>110</v>
      </c>
      <c r="O197" s="7" t="str">
        <f>IFERROR(__xludf.DUMMYFUNCTION("""COMPUTED_VALUE"""),"")</f>
        <v/>
      </c>
      <c r="Q197" s="7" t="s">
        <v>110</v>
      </c>
      <c r="R197" s="7" t="str">
        <f>IFERROR(__xludf.DUMMYFUNCTION("""COMPUTED_VALUE"""),"")</f>
        <v/>
      </c>
    </row>
    <row r="198">
      <c r="B198" s="8"/>
      <c r="G198" s="7" t="str">
        <f>IFERROR(__xludf.DUMMYFUNCTION("""COMPUTED_VALUE"""),"")</f>
        <v/>
      </c>
      <c r="K198" s="7" t="str">
        <f>IFERROR(__xludf.DUMMYFUNCTION("""COMPUTED_VALUE"""),"")</f>
        <v/>
      </c>
      <c r="M198" s="7" t="s">
        <v>110</v>
      </c>
      <c r="O198" s="7" t="str">
        <f>IFERROR(__xludf.DUMMYFUNCTION("""COMPUTED_VALUE"""),"")</f>
        <v/>
      </c>
      <c r="Q198" s="7" t="s">
        <v>110</v>
      </c>
      <c r="R198" s="7" t="str">
        <f>IFERROR(__xludf.DUMMYFUNCTION("""COMPUTED_VALUE"""),"")</f>
        <v/>
      </c>
    </row>
    <row r="199">
      <c r="B199" s="8"/>
      <c r="G199" s="7" t="str">
        <f>IFERROR(__xludf.DUMMYFUNCTION("""COMPUTED_VALUE"""),"")</f>
        <v/>
      </c>
      <c r="K199" s="7" t="str">
        <f>IFERROR(__xludf.DUMMYFUNCTION("""COMPUTED_VALUE"""),"")</f>
        <v/>
      </c>
      <c r="M199" s="7" t="s">
        <v>110</v>
      </c>
      <c r="O199" s="7" t="str">
        <f>IFERROR(__xludf.DUMMYFUNCTION("""COMPUTED_VALUE"""),"")</f>
        <v/>
      </c>
      <c r="Q199" s="7" t="s">
        <v>110</v>
      </c>
      <c r="R199" s="7" t="str">
        <f>IFERROR(__xludf.DUMMYFUNCTION("""COMPUTED_VALUE"""),"")</f>
        <v/>
      </c>
    </row>
    <row r="200">
      <c r="B200" s="8"/>
      <c r="G200" s="7" t="str">
        <f>IFERROR(__xludf.DUMMYFUNCTION("""COMPUTED_VALUE"""),"")</f>
        <v/>
      </c>
      <c r="K200" s="7" t="str">
        <f>IFERROR(__xludf.DUMMYFUNCTION("""COMPUTED_VALUE"""),"")</f>
        <v/>
      </c>
      <c r="M200" s="7" t="s">
        <v>110</v>
      </c>
      <c r="O200" s="7" t="str">
        <f>IFERROR(__xludf.DUMMYFUNCTION("""COMPUTED_VALUE"""),"")</f>
        <v/>
      </c>
      <c r="Q200" s="7" t="s">
        <v>110</v>
      </c>
      <c r="R200" s="7" t="str">
        <f>IFERROR(__xludf.DUMMYFUNCTION("""COMPUTED_VALUE"""),"")</f>
        <v/>
      </c>
    </row>
    <row r="201">
      <c r="B201" s="8"/>
      <c r="G201" s="7" t="str">
        <f>IFERROR(__xludf.DUMMYFUNCTION("""COMPUTED_VALUE"""),"")</f>
        <v/>
      </c>
      <c r="K201" s="7" t="str">
        <f>IFERROR(__xludf.DUMMYFUNCTION("""COMPUTED_VALUE"""),"")</f>
        <v/>
      </c>
      <c r="M201" s="7" t="s">
        <v>110</v>
      </c>
      <c r="O201" s="7" t="str">
        <f>IFERROR(__xludf.DUMMYFUNCTION("""COMPUTED_VALUE"""),"")</f>
        <v/>
      </c>
      <c r="Q201" s="7" t="s">
        <v>110</v>
      </c>
      <c r="R201" s="7" t="str">
        <f>IFERROR(__xludf.DUMMYFUNCTION("""COMPUTED_VALUE"""),"")</f>
        <v/>
      </c>
    </row>
    <row r="202">
      <c r="B202" s="8"/>
      <c r="G202" s="7" t="str">
        <f>IFERROR(__xludf.DUMMYFUNCTION("""COMPUTED_VALUE"""),"")</f>
        <v/>
      </c>
      <c r="K202" s="7" t="str">
        <f>IFERROR(__xludf.DUMMYFUNCTION("""COMPUTED_VALUE"""),"")</f>
        <v/>
      </c>
      <c r="M202" s="7" t="s">
        <v>110</v>
      </c>
      <c r="O202" s="7" t="str">
        <f>IFERROR(__xludf.DUMMYFUNCTION("""COMPUTED_VALUE"""),"")</f>
        <v/>
      </c>
      <c r="Q202" s="7" t="s">
        <v>110</v>
      </c>
      <c r="R202" s="7" t="str">
        <f>IFERROR(__xludf.DUMMYFUNCTION("""COMPUTED_VALUE"""),"")</f>
        <v/>
      </c>
    </row>
    <row r="203">
      <c r="B203" s="8"/>
      <c r="G203" s="7" t="str">
        <f>IFERROR(__xludf.DUMMYFUNCTION("""COMPUTED_VALUE"""),"")</f>
        <v/>
      </c>
      <c r="K203" s="7" t="str">
        <f>IFERROR(__xludf.DUMMYFUNCTION("""COMPUTED_VALUE"""),"")</f>
        <v/>
      </c>
      <c r="M203" s="7" t="s">
        <v>110</v>
      </c>
      <c r="O203" s="7" t="str">
        <f>IFERROR(__xludf.DUMMYFUNCTION("""COMPUTED_VALUE"""),"")</f>
        <v/>
      </c>
      <c r="Q203" s="7" t="s">
        <v>110</v>
      </c>
      <c r="R203" s="7" t="str">
        <f>IFERROR(__xludf.DUMMYFUNCTION("""COMPUTED_VALUE"""),"")</f>
        <v/>
      </c>
    </row>
    <row r="204">
      <c r="B204" s="8"/>
      <c r="G204" s="7" t="str">
        <f>IFERROR(__xludf.DUMMYFUNCTION("""COMPUTED_VALUE"""),"")</f>
        <v/>
      </c>
      <c r="K204" s="7" t="str">
        <f>IFERROR(__xludf.DUMMYFUNCTION("""COMPUTED_VALUE"""),"")</f>
        <v/>
      </c>
      <c r="M204" s="7" t="s">
        <v>110</v>
      </c>
      <c r="O204" s="7" t="str">
        <f>IFERROR(__xludf.DUMMYFUNCTION("""COMPUTED_VALUE"""),"")</f>
        <v/>
      </c>
      <c r="Q204" s="7" t="s">
        <v>110</v>
      </c>
      <c r="R204" s="7" t="str">
        <f>IFERROR(__xludf.DUMMYFUNCTION("""COMPUTED_VALUE"""),"")</f>
        <v/>
      </c>
    </row>
    <row r="205">
      <c r="B205" s="8"/>
      <c r="G205" s="7" t="str">
        <f>IFERROR(__xludf.DUMMYFUNCTION("""COMPUTED_VALUE"""),"")</f>
        <v/>
      </c>
      <c r="K205" s="7" t="str">
        <f>IFERROR(__xludf.DUMMYFUNCTION("""COMPUTED_VALUE"""),"")</f>
        <v/>
      </c>
      <c r="M205" s="7" t="s">
        <v>110</v>
      </c>
      <c r="O205" s="7" t="str">
        <f>IFERROR(__xludf.DUMMYFUNCTION("""COMPUTED_VALUE"""),"")</f>
        <v/>
      </c>
      <c r="Q205" s="7" t="s">
        <v>110</v>
      </c>
      <c r="R205" s="7" t="str">
        <f>IFERROR(__xludf.DUMMYFUNCTION("""COMPUTED_VALUE"""),"")</f>
        <v/>
      </c>
    </row>
    <row r="206">
      <c r="B206" s="8"/>
      <c r="G206" s="7" t="str">
        <f>IFERROR(__xludf.DUMMYFUNCTION("""COMPUTED_VALUE"""),"")</f>
        <v/>
      </c>
      <c r="K206" s="7" t="str">
        <f>IFERROR(__xludf.DUMMYFUNCTION("""COMPUTED_VALUE"""),"")</f>
        <v/>
      </c>
      <c r="M206" s="7" t="s">
        <v>110</v>
      </c>
      <c r="O206" s="7" t="str">
        <f>IFERROR(__xludf.DUMMYFUNCTION("""COMPUTED_VALUE"""),"")</f>
        <v/>
      </c>
      <c r="Q206" s="7" t="s">
        <v>110</v>
      </c>
      <c r="R206" s="7" t="str">
        <f>IFERROR(__xludf.DUMMYFUNCTION("""COMPUTED_VALUE"""),"")</f>
        <v/>
      </c>
    </row>
    <row r="207">
      <c r="B207" s="8"/>
      <c r="G207" s="7" t="str">
        <f>IFERROR(__xludf.DUMMYFUNCTION("""COMPUTED_VALUE"""),"")</f>
        <v/>
      </c>
      <c r="K207" s="7" t="str">
        <f>IFERROR(__xludf.DUMMYFUNCTION("""COMPUTED_VALUE"""),"")</f>
        <v/>
      </c>
      <c r="M207" s="7" t="s">
        <v>110</v>
      </c>
      <c r="O207" s="7" t="str">
        <f>IFERROR(__xludf.DUMMYFUNCTION("""COMPUTED_VALUE"""),"")</f>
        <v/>
      </c>
      <c r="Q207" s="7" t="s">
        <v>110</v>
      </c>
      <c r="R207" s="7" t="str">
        <f>IFERROR(__xludf.DUMMYFUNCTION("""COMPUTED_VALUE"""),"")</f>
        <v/>
      </c>
    </row>
    <row r="208">
      <c r="B208" s="8"/>
      <c r="G208" s="7" t="str">
        <f>IFERROR(__xludf.DUMMYFUNCTION("""COMPUTED_VALUE"""),"")</f>
        <v/>
      </c>
      <c r="K208" s="7" t="str">
        <f>IFERROR(__xludf.DUMMYFUNCTION("""COMPUTED_VALUE"""),"")</f>
        <v/>
      </c>
      <c r="M208" s="7" t="s">
        <v>110</v>
      </c>
      <c r="O208" s="7" t="str">
        <f>IFERROR(__xludf.DUMMYFUNCTION("""COMPUTED_VALUE"""),"")</f>
        <v/>
      </c>
      <c r="Q208" s="7" t="s">
        <v>110</v>
      </c>
      <c r="R208" s="7" t="str">
        <f>IFERROR(__xludf.DUMMYFUNCTION("""COMPUTED_VALUE"""),"")</f>
        <v/>
      </c>
    </row>
    <row r="209">
      <c r="B209" s="8"/>
      <c r="G209" s="7" t="str">
        <f>IFERROR(__xludf.DUMMYFUNCTION("""COMPUTED_VALUE"""),"")</f>
        <v/>
      </c>
      <c r="K209" s="7" t="str">
        <f>IFERROR(__xludf.DUMMYFUNCTION("""COMPUTED_VALUE"""),"")</f>
        <v/>
      </c>
      <c r="M209" s="7" t="s">
        <v>110</v>
      </c>
      <c r="O209" s="7" t="str">
        <f>IFERROR(__xludf.DUMMYFUNCTION("""COMPUTED_VALUE"""),"")</f>
        <v/>
      </c>
      <c r="Q209" s="7" t="s">
        <v>110</v>
      </c>
      <c r="R209" s="7" t="str">
        <f>IFERROR(__xludf.DUMMYFUNCTION("""COMPUTED_VALUE"""),"")</f>
        <v/>
      </c>
    </row>
    <row r="210">
      <c r="B210" s="8"/>
      <c r="G210" s="7" t="str">
        <f>IFERROR(__xludf.DUMMYFUNCTION("""COMPUTED_VALUE"""),"")</f>
        <v/>
      </c>
      <c r="K210" s="7" t="str">
        <f>IFERROR(__xludf.DUMMYFUNCTION("""COMPUTED_VALUE"""),"")</f>
        <v/>
      </c>
      <c r="M210" s="7" t="s">
        <v>110</v>
      </c>
      <c r="O210" s="7" t="str">
        <f>IFERROR(__xludf.DUMMYFUNCTION("""COMPUTED_VALUE"""),"")</f>
        <v/>
      </c>
      <c r="Q210" s="7" t="s">
        <v>110</v>
      </c>
      <c r="R210" s="7" t="str">
        <f>IFERROR(__xludf.DUMMYFUNCTION("""COMPUTED_VALUE"""),"")</f>
        <v/>
      </c>
    </row>
    <row r="211">
      <c r="B211" s="8"/>
      <c r="G211" s="7" t="str">
        <f>IFERROR(__xludf.DUMMYFUNCTION("""COMPUTED_VALUE"""),"")</f>
        <v/>
      </c>
      <c r="K211" s="7" t="str">
        <f>IFERROR(__xludf.DUMMYFUNCTION("""COMPUTED_VALUE"""),"")</f>
        <v/>
      </c>
      <c r="M211" s="7" t="s">
        <v>110</v>
      </c>
      <c r="O211" s="7" t="str">
        <f>IFERROR(__xludf.DUMMYFUNCTION("""COMPUTED_VALUE"""),"")</f>
        <v/>
      </c>
      <c r="Q211" s="7" t="s">
        <v>110</v>
      </c>
      <c r="R211" s="7" t="str">
        <f>IFERROR(__xludf.DUMMYFUNCTION("""COMPUTED_VALUE"""),"")</f>
        <v/>
      </c>
    </row>
    <row r="212">
      <c r="B212" s="8"/>
      <c r="G212" s="7" t="str">
        <f>IFERROR(__xludf.DUMMYFUNCTION("""COMPUTED_VALUE"""),"")</f>
        <v/>
      </c>
      <c r="K212" s="7" t="str">
        <f>IFERROR(__xludf.DUMMYFUNCTION("""COMPUTED_VALUE"""),"")</f>
        <v/>
      </c>
      <c r="M212" s="7" t="s">
        <v>110</v>
      </c>
      <c r="O212" s="7" t="str">
        <f>IFERROR(__xludf.DUMMYFUNCTION("""COMPUTED_VALUE"""),"")</f>
        <v/>
      </c>
      <c r="Q212" s="7" t="s">
        <v>110</v>
      </c>
      <c r="R212" s="7" t="str">
        <f>IFERROR(__xludf.DUMMYFUNCTION("""COMPUTED_VALUE"""),"")</f>
        <v/>
      </c>
    </row>
    <row r="213">
      <c r="B213" s="8"/>
      <c r="G213" s="7" t="str">
        <f>IFERROR(__xludf.DUMMYFUNCTION("""COMPUTED_VALUE"""),"")</f>
        <v/>
      </c>
      <c r="K213" s="7" t="str">
        <f>IFERROR(__xludf.DUMMYFUNCTION("""COMPUTED_VALUE"""),"")</f>
        <v/>
      </c>
      <c r="M213" s="7" t="s">
        <v>110</v>
      </c>
      <c r="O213" s="7" t="str">
        <f>IFERROR(__xludf.DUMMYFUNCTION("""COMPUTED_VALUE"""),"")</f>
        <v/>
      </c>
      <c r="Q213" s="7" t="s">
        <v>110</v>
      </c>
      <c r="R213" s="7" t="str">
        <f>IFERROR(__xludf.DUMMYFUNCTION("""COMPUTED_VALUE"""),"")</f>
        <v/>
      </c>
    </row>
    <row r="214">
      <c r="B214" s="8"/>
      <c r="G214" s="7" t="str">
        <f>IFERROR(__xludf.DUMMYFUNCTION("""COMPUTED_VALUE"""),"")</f>
        <v/>
      </c>
      <c r="K214" s="7" t="str">
        <f>IFERROR(__xludf.DUMMYFUNCTION("""COMPUTED_VALUE"""),"")</f>
        <v/>
      </c>
      <c r="M214" s="7" t="s">
        <v>110</v>
      </c>
      <c r="O214" s="7" t="str">
        <f>IFERROR(__xludf.DUMMYFUNCTION("""COMPUTED_VALUE"""),"")</f>
        <v/>
      </c>
      <c r="Q214" s="7" t="s">
        <v>110</v>
      </c>
      <c r="R214" s="7" t="str">
        <f>IFERROR(__xludf.DUMMYFUNCTION("""COMPUTED_VALUE"""),"")</f>
        <v/>
      </c>
    </row>
    <row r="215">
      <c r="B215" s="8"/>
      <c r="G215" s="7" t="str">
        <f>IFERROR(__xludf.DUMMYFUNCTION("""COMPUTED_VALUE"""),"")</f>
        <v/>
      </c>
      <c r="K215" s="7" t="str">
        <f>IFERROR(__xludf.DUMMYFUNCTION("""COMPUTED_VALUE"""),"")</f>
        <v/>
      </c>
      <c r="M215" s="7" t="s">
        <v>110</v>
      </c>
      <c r="O215" s="7" t="str">
        <f>IFERROR(__xludf.DUMMYFUNCTION("""COMPUTED_VALUE"""),"")</f>
        <v/>
      </c>
      <c r="Q215" s="7" t="s">
        <v>110</v>
      </c>
      <c r="R215" s="7" t="str">
        <f>IFERROR(__xludf.DUMMYFUNCTION("""COMPUTED_VALUE"""),"")</f>
        <v/>
      </c>
    </row>
    <row r="216">
      <c r="B216" s="8"/>
      <c r="G216" s="7" t="str">
        <f>IFERROR(__xludf.DUMMYFUNCTION("""COMPUTED_VALUE"""),"")</f>
        <v/>
      </c>
      <c r="K216" s="7" t="str">
        <f>IFERROR(__xludf.DUMMYFUNCTION("""COMPUTED_VALUE"""),"")</f>
        <v/>
      </c>
      <c r="M216" s="7" t="s">
        <v>110</v>
      </c>
      <c r="O216" s="7" t="str">
        <f>IFERROR(__xludf.DUMMYFUNCTION("""COMPUTED_VALUE"""),"")</f>
        <v/>
      </c>
      <c r="Q216" s="7" t="s">
        <v>110</v>
      </c>
      <c r="R216" s="7" t="str">
        <f>IFERROR(__xludf.DUMMYFUNCTION("""COMPUTED_VALUE"""),"")</f>
        <v/>
      </c>
    </row>
    <row r="217">
      <c r="B217" s="8"/>
      <c r="G217" s="7" t="str">
        <f>IFERROR(__xludf.DUMMYFUNCTION("""COMPUTED_VALUE"""),"")</f>
        <v/>
      </c>
      <c r="K217" s="7" t="str">
        <f>IFERROR(__xludf.DUMMYFUNCTION("""COMPUTED_VALUE"""),"")</f>
        <v/>
      </c>
      <c r="M217" s="7" t="s">
        <v>110</v>
      </c>
      <c r="O217" s="7" t="str">
        <f>IFERROR(__xludf.DUMMYFUNCTION("""COMPUTED_VALUE"""),"")</f>
        <v/>
      </c>
      <c r="Q217" s="7" t="s">
        <v>110</v>
      </c>
      <c r="R217" s="7" t="str">
        <f>IFERROR(__xludf.DUMMYFUNCTION("""COMPUTED_VALUE"""),"")</f>
        <v/>
      </c>
    </row>
    <row r="218">
      <c r="B218" s="8"/>
      <c r="G218" s="7" t="str">
        <f>IFERROR(__xludf.DUMMYFUNCTION("""COMPUTED_VALUE"""),"")</f>
        <v/>
      </c>
      <c r="K218" s="7" t="str">
        <f>IFERROR(__xludf.DUMMYFUNCTION("""COMPUTED_VALUE"""),"")</f>
        <v/>
      </c>
      <c r="M218" s="7" t="s">
        <v>110</v>
      </c>
      <c r="O218" s="7" t="str">
        <f>IFERROR(__xludf.DUMMYFUNCTION("""COMPUTED_VALUE"""),"")</f>
        <v/>
      </c>
      <c r="Q218" s="7" t="s">
        <v>110</v>
      </c>
      <c r="R218" s="7" t="str">
        <f>IFERROR(__xludf.DUMMYFUNCTION("""COMPUTED_VALUE"""),"")</f>
        <v/>
      </c>
    </row>
    <row r="219">
      <c r="B219" s="8"/>
      <c r="G219" s="7" t="str">
        <f>IFERROR(__xludf.DUMMYFUNCTION("""COMPUTED_VALUE"""),"")</f>
        <v/>
      </c>
      <c r="K219" s="7" t="str">
        <f>IFERROR(__xludf.DUMMYFUNCTION("""COMPUTED_VALUE"""),"")</f>
        <v/>
      </c>
      <c r="M219" s="7" t="s">
        <v>110</v>
      </c>
      <c r="O219" s="7" t="str">
        <f>IFERROR(__xludf.DUMMYFUNCTION("""COMPUTED_VALUE"""),"")</f>
        <v/>
      </c>
      <c r="Q219" s="7" t="s">
        <v>110</v>
      </c>
      <c r="R219" s="7" t="str">
        <f>IFERROR(__xludf.DUMMYFUNCTION("""COMPUTED_VALUE"""),"")</f>
        <v/>
      </c>
    </row>
    <row r="220">
      <c r="B220" s="8"/>
      <c r="G220" s="7" t="str">
        <f>IFERROR(__xludf.DUMMYFUNCTION("""COMPUTED_VALUE"""),"")</f>
        <v/>
      </c>
      <c r="K220" s="7" t="str">
        <f>IFERROR(__xludf.DUMMYFUNCTION("""COMPUTED_VALUE"""),"")</f>
        <v/>
      </c>
      <c r="M220" s="7" t="s">
        <v>110</v>
      </c>
      <c r="O220" s="7" t="str">
        <f>IFERROR(__xludf.DUMMYFUNCTION("""COMPUTED_VALUE"""),"")</f>
        <v/>
      </c>
      <c r="Q220" s="7" t="s">
        <v>110</v>
      </c>
      <c r="R220" s="7" t="str">
        <f>IFERROR(__xludf.DUMMYFUNCTION("""COMPUTED_VALUE"""),"")</f>
        <v/>
      </c>
    </row>
    <row r="221">
      <c r="B221" s="8"/>
      <c r="G221" s="7" t="str">
        <f>IFERROR(__xludf.DUMMYFUNCTION("""COMPUTED_VALUE"""),"")</f>
        <v/>
      </c>
      <c r="K221" s="7" t="str">
        <f>IFERROR(__xludf.DUMMYFUNCTION("""COMPUTED_VALUE"""),"")</f>
        <v/>
      </c>
      <c r="M221" s="7" t="s">
        <v>110</v>
      </c>
      <c r="O221" s="7" t="str">
        <f>IFERROR(__xludf.DUMMYFUNCTION("""COMPUTED_VALUE"""),"")</f>
        <v/>
      </c>
      <c r="Q221" s="7" t="s">
        <v>110</v>
      </c>
      <c r="R221" s="7" t="str">
        <f>IFERROR(__xludf.DUMMYFUNCTION("""COMPUTED_VALUE"""),"")</f>
        <v/>
      </c>
    </row>
    <row r="222">
      <c r="B222" s="8"/>
      <c r="G222" s="7" t="str">
        <f>IFERROR(__xludf.DUMMYFUNCTION("""COMPUTED_VALUE"""),"")</f>
        <v/>
      </c>
      <c r="K222" s="7" t="str">
        <f>IFERROR(__xludf.DUMMYFUNCTION("""COMPUTED_VALUE"""),"")</f>
        <v/>
      </c>
      <c r="M222" s="7" t="s">
        <v>110</v>
      </c>
      <c r="O222" s="7" t="str">
        <f>IFERROR(__xludf.DUMMYFUNCTION("""COMPUTED_VALUE"""),"")</f>
        <v/>
      </c>
      <c r="Q222" s="7" t="s">
        <v>110</v>
      </c>
      <c r="R222" s="7" t="str">
        <f>IFERROR(__xludf.DUMMYFUNCTION("""COMPUTED_VALUE"""),"")</f>
        <v/>
      </c>
    </row>
    <row r="223">
      <c r="B223" s="8"/>
      <c r="G223" s="7" t="str">
        <f>IFERROR(__xludf.DUMMYFUNCTION("""COMPUTED_VALUE"""),"")</f>
        <v/>
      </c>
      <c r="K223" s="7" t="str">
        <f>IFERROR(__xludf.DUMMYFUNCTION("""COMPUTED_VALUE"""),"")</f>
        <v/>
      </c>
      <c r="M223" s="7" t="s">
        <v>110</v>
      </c>
      <c r="O223" s="7" t="str">
        <f>IFERROR(__xludf.DUMMYFUNCTION("""COMPUTED_VALUE"""),"")</f>
        <v/>
      </c>
      <c r="Q223" s="7" t="s">
        <v>110</v>
      </c>
      <c r="R223" s="7" t="str">
        <f>IFERROR(__xludf.DUMMYFUNCTION("""COMPUTED_VALUE"""),"")</f>
        <v/>
      </c>
    </row>
    <row r="224">
      <c r="B224" s="8"/>
      <c r="G224" s="7" t="str">
        <f>IFERROR(__xludf.DUMMYFUNCTION("""COMPUTED_VALUE"""),"")</f>
        <v/>
      </c>
      <c r="K224" s="7" t="str">
        <f>IFERROR(__xludf.DUMMYFUNCTION("""COMPUTED_VALUE"""),"")</f>
        <v/>
      </c>
      <c r="M224" s="7" t="s">
        <v>110</v>
      </c>
      <c r="O224" s="7" t="str">
        <f>IFERROR(__xludf.DUMMYFUNCTION("""COMPUTED_VALUE"""),"")</f>
        <v/>
      </c>
      <c r="Q224" s="7" t="s">
        <v>110</v>
      </c>
      <c r="R224" s="7" t="str">
        <f>IFERROR(__xludf.DUMMYFUNCTION("""COMPUTED_VALUE"""),"")</f>
        <v/>
      </c>
    </row>
    <row r="225">
      <c r="B225" s="8"/>
      <c r="G225" s="7" t="str">
        <f>IFERROR(__xludf.DUMMYFUNCTION("""COMPUTED_VALUE"""),"")</f>
        <v/>
      </c>
      <c r="K225" s="7" t="str">
        <f>IFERROR(__xludf.DUMMYFUNCTION("""COMPUTED_VALUE"""),"")</f>
        <v/>
      </c>
      <c r="M225" s="7" t="s">
        <v>110</v>
      </c>
      <c r="O225" s="7" t="str">
        <f>IFERROR(__xludf.DUMMYFUNCTION("""COMPUTED_VALUE"""),"")</f>
        <v/>
      </c>
      <c r="Q225" s="7" t="s">
        <v>110</v>
      </c>
      <c r="R225" s="7" t="str">
        <f>IFERROR(__xludf.DUMMYFUNCTION("""COMPUTED_VALUE"""),"")</f>
        <v/>
      </c>
    </row>
    <row r="226">
      <c r="B226" s="8"/>
      <c r="G226" s="7" t="str">
        <f>IFERROR(__xludf.DUMMYFUNCTION("""COMPUTED_VALUE"""),"")</f>
        <v/>
      </c>
      <c r="K226" s="7" t="str">
        <f>IFERROR(__xludf.DUMMYFUNCTION("""COMPUTED_VALUE"""),"")</f>
        <v/>
      </c>
      <c r="M226" s="7" t="s">
        <v>110</v>
      </c>
      <c r="O226" s="7" t="str">
        <f>IFERROR(__xludf.DUMMYFUNCTION("""COMPUTED_VALUE"""),"")</f>
        <v/>
      </c>
      <c r="Q226" s="7" t="s">
        <v>110</v>
      </c>
      <c r="R226" s="7" t="str">
        <f>IFERROR(__xludf.DUMMYFUNCTION("""COMPUTED_VALUE"""),"")</f>
        <v/>
      </c>
    </row>
    <row r="227">
      <c r="B227" s="8"/>
      <c r="G227" s="7" t="str">
        <f>IFERROR(__xludf.DUMMYFUNCTION("""COMPUTED_VALUE"""),"")</f>
        <v/>
      </c>
      <c r="K227" s="7" t="str">
        <f>IFERROR(__xludf.DUMMYFUNCTION("""COMPUTED_VALUE"""),"")</f>
        <v/>
      </c>
      <c r="M227" s="7" t="s">
        <v>110</v>
      </c>
      <c r="O227" s="7" t="str">
        <f>IFERROR(__xludf.DUMMYFUNCTION("""COMPUTED_VALUE"""),"")</f>
        <v/>
      </c>
      <c r="Q227" s="7" t="s">
        <v>110</v>
      </c>
      <c r="R227" s="7" t="str">
        <f>IFERROR(__xludf.DUMMYFUNCTION("""COMPUTED_VALUE"""),"")</f>
        <v/>
      </c>
    </row>
    <row r="228">
      <c r="B228" s="8"/>
      <c r="G228" s="7" t="str">
        <f>IFERROR(__xludf.DUMMYFUNCTION("""COMPUTED_VALUE"""),"")</f>
        <v/>
      </c>
      <c r="K228" s="7" t="str">
        <f>IFERROR(__xludf.DUMMYFUNCTION("""COMPUTED_VALUE"""),"")</f>
        <v/>
      </c>
      <c r="M228" s="7" t="s">
        <v>110</v>
      </c>
      <c r="O228" s="7" t="str">
        <f>IFERROR(__xludf.DUMMYFUNCTION("""COMPUTED_VALUE"""),"")</f>
        <v/>
      </c>
      <c r="Q228" s="7" t="s">
        <v>110</v>
      </c>
      <c r="R228" s="7" t="str">
        <f>IFERROR(__xludf.DUMMYFUNCTION("""COMPUTED_VALUE"""),"")</f>
        <v/>
      </c>
    </row>
    <row r="229">
      <c r="B229" s="8"/>
      <c r="G229" s="7" t="str">
        <f>IFERROR(__xludf.DUMMYFUNCTION("""COMPUTED_VALUE"""),"")</f>
        <v/>
      </c>
      <c r="K229" s="7" t="str">
        <f>IFERROR(__xludf.DUMMYFUNCTION("""COMPUTED_VALUE"""),"")</f>
        <v/>
      </c>
      <c r="M229" s="7" t="s">
        <v>110</v>
      </c>
      <c r="O229" s="7" t="str">
        <f>IFERROR(__xludf.DUMMYFUNCTION("""COMPUTED_VALUE"""),"")</f>
        <v/>
      </c>
      <c r="Q229" s="7" t="s">
        <v>110</v>
      </c>
      <c r="R229" s="7" t="str">
        <f>IFERROR(__xludf.DUMMYFUNCTION("""COMPUTED_VALUE"""),"")</f>
        <v/>
      </c>
    </row>
    <row r="230">
      <c r="B230" s="8"/>
      <c r="G230" s="7" t="str">
        <f>IFERROR(__xludf.DUMMYFUNCTION("""COMPUTED_VALUE"""),"")</f>
        <v/>
      </c>
      <c r="K230" s="7" t="str">
        <f>IFERROR(__xludf.DUMMYFUNCTION("""COMPUTED_VALUE"""),"")</f>
        <v/>
      </c>
      <c r="M230" s="7" t="s">
        <v>110</v>
      </c>
      <c r="O230" s="7" t="str">
        <f>IFERROR(__xludf.DUMMYFUNCTION("""COMPUTED_VALUE"""),"")</f>
        <v/>
      </c>
      <c r="Q230" s="7" t="s">
        <v>110</v>
      </c>
      <c r="R230" s="7" t="str">
        <f>IFERROR(__xludf.DUMMYFUNCTION("""COMPUTED_VALUE"""),"")</f>
        <v/>
      </c>
    </row>
    <row r="231">
      <c r="B231" s="8"/>
      <c r="G231" s="7" t="str">
        <f>IFERROR(__xludf.DUMMYFUNCTION("""COMPUTED_VALUE"""),"")</f>
        <v/>
      </c>
      <c r="K231" s="7" t="str">
        <f>IFERROR(__xludf.DUMMYFUNCTION("""COMPUTED_VALUE"""),"")</f>
        <v/>
      </c>
      <c r="M231" s="7" t="s">
        <v>110</v>
      </c>
      <c r="O231" s="7" t="str">
        <f>IFERROR(__xludf.DUMMYFUNCTION("""COMPUTED_VALUE"""),"")</f>
        <v/>
      </c>
      <c r="Q231" s="7" t="s">
        <v>110</v>
      </c>
      <c r="R231" s="7" t="str">
        <f>IFERROR(__xludf.DUMMYFUNCTION("""COMPUTED_VALUE"""),"")</f>
        <v/>
      </c>
    </row>
    <row r="232">
      <c r="B232" s="8"/>
      <c r="G232" s="7" t="str">
        <f>IFERROR(__xludf.DUMMYFUNCTION("""COMPUTED_VALUE"""),"")</f>
        <v/>
      </c>
      <c r="K232" s="7" t="str">
        <f>IFERROR(__xludf.DUMMYFUNCTION("""COMPUTED_VALUE"""),"")</f>
        <v/>
      </c>
      <c r="M232" s="7" t="s">
        <v>110</v>
      </c>
      <c r="O232" s="7" t="str">
        <f>IFERROR(__xludf.DUMMYFUNCTION("""COMPUTED_VALUE"""),"")</f>
        <v/>
      </c>
      <c r="Q232" s="7" t="s">
        <v>110</v>
      </c>
      <c r="R232" s="7" t="str">
        <f>IFERROR(__xludf.DUMMYFUNCTION("""COMPUTED_VALUE"""),"")</f>
        <v/>
      </c>
    </row>
    <row r="233">
      <c r="B233" s="8"/>
      <c r="G233" s="7" t="str">
        <f>IFERROR(__xludf.DUMMYFUNCTION("""COMPUTED_VALUE"""),"")</f>
        <v/>
      </c>
      <c r="K233" s="7" t="str">
        <f>IFERROR(__xludf.DUMMYFUNCTION("""COMPUTED_VALUE"""),"")</f>
        <v/>
      </c>
      <c r="M233" s="7" t="s">
        <v>110</v>
      </c>
      <c r="O233" s="7" t="str">
        <f>IFERROR(__xludf.DUMMYFUNCTION("""COMPUTED_VALUE"""),"")</f>
        <v/>
      </c>
      <c r="Q233" s="7" t="s">
        <v>110</v>
      </c>
      <c r="R233" s="7" t="str">
        <f>IFERROR(__xludf.DUMMYFUNCTION("""COMPUTED_VALUE"""),"")</f>
        <v/>
      </c>
    </row>
    <row r="234">
      <c r="B234" s="8"/>
      <c r="G234" s="7" t="str">
        <f>IFERROR(__xludf.DUMMYFUNCTION("""COMPUTED_VALUE"""),"")</f>
        <v/>
      </c>
      <c r="K234" s="7" t="str">
        <f>IFERROR(__xludf.DUMMYFUNCTION("""COMPUTED_VALUE"""),"")</f>
        <v/>
      </c>
      <c r="M234" s="7" t="s">
        <v>110</v>
      </c>
      <c r="O234" s="7" t="str">
        <f>IFERROR(__xludf.DUMMYFUNCTION("""COMPUTED_VALUE"""),"")</f>
        <v/>
      </c>
      <c r="Q234" s="7" t="s">
        <v>110</v>
      </c>
      <c r="R234" s="7" t="str">
        <f>IFERROR(__xludf.DUMMYFUNCTION("""COMPUTED_VALUE"""),"")</f>
        <v/>
      </c>
    </row>
    <row r="235">
      <c r="B235" s="8"/>
      <c r="G235" s="7" t="str">
        <f>IFERROR(__xludf.DUMMYFUNCTION("""COMPUTED_VALUE"""),"")</f>
        <v/>
      </c>
      <c r="K235" s="7" t="str">
        <f>IFERROR(__xludf.DUMMYFUNCTION("""COMPUTED_VALUE"""),"")</f>
        <v/>
      </c>
      <c r="M235" s="7" t="s">
        <v>110</v>
      </c>
      <c r="O235" s="7" t="str">
        <f>IFERROR(__xludf.DUMMYFUNCTION("""COMPUTED_VALUE"""),"")</f>
        <v/>
      </c>
      <c r="Q235" s="7" t="s">
        <v>110</v>
      </c>
      <c r="R235" s="7" t="str">
        <f>IFERROR(__xludf.DUMMYFUNCTION("""COMPUTED_VALUE"""),"")</f>
        <v/>
      </c>
    </row>
    <row r="236">
      <c r="B236" s="8"/>
      <c r="G236" s="7" t="str">
        <f>IFERROR(__xludf.DUMMYFUNCTION("""COMPUTED_VALUE"""),"")</f>
        <v/>
      </c>
      <c r="K236" s="7" t="str">
        <f>IFERROR(__xludf.DUMMYFUNCTION("""COMPUTED_VALUE"""),"")</f>
        <v/>
      </c>
      <c r="M236" s="7" t="s">
        <v>110</v>
      </c>
      <c r="O236" s="7" t="str">
        <f>IFERROR(__xludf.DUMMYFUNCTION("""COMPUTED_VALUE"""),"")</f>
        <v/>
      </c>
      <c r="Q236" s="7" t="s">
        <v>110</v>
      </c>
      <c r="R236" s="7" t="str">
        <f>IFERROR(__xludf.DUMMYFUNCTION("""COMPUTED_VALUE"""),"")</f>
        <v/>
      </c>
    </row>
    <row r="237">
      <c r="B237" s="8"/>
      <c r="G237" s="7" t="str">
        <f>IFERROR(__xludf.DUMMYFUNCTION("""COMPUTED_VALUE"""),"")</f>
        <v/>
      </c>
      <c r="K237" s="7" t="str">
        <f>IFERROR(__xludf.DUMMYFUNCTION("""COMPUTED_VALUE"""),"")</f>
        <v/>
      </c>
      <c r="M237" s="7" t="s">
        <v>110</v>
      </c>
      <c r="O237" s="7" t="str">
        <f>IFERROR(__xludf.DUMMYFUNCTION("""COMPUTED_VALUE"""),"")</f>
        <v/>
      </c>
      <c r="Q237" s="7" t="s">
        <v>110</v>
      </c>
      <c r="R237" s="7" t="str">
        <f>IFERROR(__xludf.DUMMYFUNCTION("""COMPUTED_VALUE"""),"")</f>
        <v/>
      </c>
    </row>
    <row r="238">
      <c r="B238" s="8"/>
      <c r="G238" s="7" t="str">
        <f>IFERROR(__xludf.DUMMYFUNCTION("""COMPUTED_VALUE"""),"")</f>
        <v/>
      </c>
      <c r="K238" s="7" t="str">
        <f>IFERROR(__xludf.DUMMYFUNCTION("""COMPUTED_VALUE"""),"")</f>
        <v/>
      </c>
      <c r="M238" s="7" t="s">
        <v>110</v>
      </c>
      <c r="O238" s="7" t="str">
        <f>IFERROR(__xludf.DUMMYFUNCTION("""COMPUTED_VALUE"""),"")</f>
        <v/>
      </c>
      <c r="Q238" s="7" t="s">
        <v>110</v>
      </c>
      <c r="R238" s="7" t="str">
        <f>IFERROR(__xludf.DUMMYFUNCTION("""COMPUTED_VALUE"""),"")</f>
        <v/>
      </c>
    </row>
    <row r="239">
      <c r="B239" s="8"/>
      <c r="G239" s="7" t="str">
        <f>IFERROR(__xludf.DUMMYFUNCTION("""COMPUTED_VALUE"""),"")</f>
        <v/>
      </c>
      <c r="K239" s="7" t="str">
        <f>IFERROR(__xludf.DUMMYFUNCTION("""COMPUTED_VALUE"""),"")</f>
        <v/>
      </c>
      <c r="M239" s="7" t="s">
        <v>110</v>
      </c>
      <c r="O239" s="7" t="str">
        <f>IFERROR(__xludf.DUMMYFUNCTION("""COMPUTED_VALUE"""),"")</f>
        <v/>
      </c>
      <c r="Q239" s="7" t="s">
        <v>110</v>
      </c>
      <c r="R239" s="7" t="str">
        <f>IFERROR(__xludf.DUMMYFUNCTION("""COMPUTED_VALUE"""),"")</f>
        <v/>
      </c>
    </row>
    <row r="240">
      <c r="B240" s="8"/>
      <c r="G240" s="7" t="str">
        <f>IFERROR(__xludf.DUMMYFUNCTION("""COMPUTED_VALUE"""),"")</f>
        <v/>
      </c>
      <c r="K240" s="7" t="str">
        <f>IFERROR(__xludf.DUMMYFUNCTION("""COMPUTED_VALUE"""),"")</f>
        <v/>
      </c>
      <c r="M240" s="7" t="s">
        <v>110</v>
      </c>
      <c r="O240" s="7" t="str">
        <f>IFERROR(__xludf.DUMMYFUNCTION("""COMPUTED_VALUE"""),"")</f>
        <v/>
      </c>
      <c r="Q240" s="7" t="s">
        <v>110</v>
      </c>
      <c r="R240" s="7" t="str">
        <f>IFERROR(__xludf.DUMMYFUNCTION("""COMPUTED_VALUE"""),"")</f>
        <v/>
      </c>
    </row>
    <row r="241">
      <c r="B241" s="8"/>
      <c r="G241" s="7" t="str">
        <f>IFERROR(__xludf.DUMMYFUNCTION("""COMPUTED_VALUE"""),"")</f>
        <v/>
      </c>
      <c r="K241" s="7" t="str">
        <f>IFERROR(__xludf.DUMMYFUNCTION("""COMPUTED_VALUE"""),"")</f>
        <v/>
      </c>
      <c r="M241" s="7" t="s">
        <v>110</v>
      </c>
      <c r="O241" s="7" t="str">
        <f>IFERROR(__xludf.DUMMYFUNCTION("""COMPUTED_VALUE"""),"")</f>
        <v/>
      </c>
      <c r="Q241" s="7" t="s">
        <v>110</v>
      </c>
      <c r="R241" s="7" t="str">
        <f>IFERROR(__xludf.DUMMYFUNCTION("""COMPUTED_VALUE"""),"")</f>
        <v/>
      </c>
    </row>
    <row r="242">
      <c r="B242" s="8"/>
      <c r="G242" s="7" t="str">
        <f>IFERROR(__xludf.DUMMYFUNCTION("""COMPUTED_VALUE"""),"")</f>
        <v/>
      </c>
      <c r="K242" s="7" t="str">
        <f>IFERROR(__xludf.DUMMYFUNCTION("""COMPUTED_VALUE"""),"")</f>
        <v/>
      </c>
      <c r="M242" s="7" t="s">
        <v>110</v>
      </c>
      <c r="O242" s="7" t="str">
        <f>IFERROR(__xludf.DUMMYFUNCTION("""COMPUTED_VALUE"""),"")</f>
        <v/>
      </c>
      <c r="Q242" s="7" t="s">
        <v>110</v>
      </c>
      <c r="R242" s="7" t="str">
        <f>IFERROR(__xludf.DUMMYFUNCTION("""COMPUTED_VALUE"""),"")</f>
        <v/>
      </c>
    </row>
    <row r="243">
      <c r="B243" s="8"/>
      <c r="G243" s="7" t="str">
        <f>IFERROR(__xludf.DUMMYFUNCTION("""COMPUTED_VALUE"""),"")</f>
        <v/>
      </c>
      <c r="K243" s="7" t="str">
        <f>IFERROR(__xludf.DUMMYFUNCTION("""COMPUTED_VALUE"""),"")</f>
        <v/>
      </c>
      <c r="M243" s="7" t="s">
        <v>110</v>
      </c>
      <c r="O243" s="7" t="str">
        <f>IFERROR(__xludf.DUMMYFUNCTION("""COMPUTED_VALUE"""),"")</f>
        <v/>
      </c>
      <c r="Q243" s="7" t="s">
        <v>110</v>
      </c>
      <c r="R243" s="7" t="str">
        <f>IFERROR(__xludf.DUMMYFUNCTION("""COMPUTED_VALUE"""),"")</f>
        <v/>
      </c>
    </row>
    <row r="244">
      <c r="B244" s="8"/>
      <c r="G244" s="7" t="str">
        <f>IFERROR(__xludf.DUMMYFUNCTION("""COMPUTED_VALUE"""),"")</f>
        <v/>
      </c>
      <c r="K244" s="7" t="str">
        <f>IFERROR(__xludf.DUMMYFUNCTION("""COMPUTED_VALUE"""),"")</f>
        <v/>
      </c>
      <c r="M244" s="7" t="s">
        <v>110</v>
      </c>
      <c r="O244" s="7" t="str">
        <f>IFERROR(__xludf.DUMMYFUNCTION("""COMPUTED_VALUE"""),"")</f>
        <v/>
      </c>
      <c r="Q244" s="7" t="s">
        <v>110</v>
      </c>
      <c r="R244" s="7" t="str">
        <f>IFERROR(__xludf.DUMMYFUNCTION("""COMPUTED_VALUE"""),"")</f>
        <v/>
      </c>
    </row>
    <row r="245">
      <c r="B245" s="8"/>
      <c r="G245" s="7" t="str">
        <f>IFERROR(__xludf.DUMMYFUNCTION("""COMPUTED_VALUE"""),"")</f>
        <v/>
      </c>
      <c r="K245" s="7" t="str">
        <f>IFERROR(__xludf.DUMMYFUNCTION("""COMPUTED_VALUE"""),"")</f>
        <v/>
      </c>
      <c r="M245" s="7" t="s">
        <v>110</v>
      </c>
      <c r="O245" s="7" t="str">
        <f>IFERROR(__xludf.DUMMYFUNCTION("""COMPUTED_VALUE"""),"")</f>
        <v/>
      </c>
      <c r="Q245" s="7" t="s">
        <v>110</v>
      </c>
      <c r="R245" s="7" t="str">
        <f>IFERROR(__xludf.DUMMYFUNCTION("""COMPUTED_VALUE"""),"")</f>
        <v/>
      </c>
    </row>
    <row r="246">
      <c r="B246" s="8"/>
      <c r="G246" s="7" t="str">
        <f>IFERROR(__xludf.DUMMYFUNCTION("""COMPUTED_VALUE"""),"")</f>
        <v/>
      </c>
      <c r="K246" s="7" t="str">
        <f>IFERROR(__xludf.DUMMYFUNCTION("""COMPUTED_VALUE"""),"")</f>
        <v/>
      </c>
      <c r="M246" s="7" t="s">
        <v>110</v>
      </c>
      <c r="O246" s="7" t="str">
        <f>IFERROR(__xludf.DUMMYFUNCTION("""COMPUTED_VALUE"""),"")</f>
        <v/>
      </c>
      <c r="Q246" s="7" t="s">
        <v>110</v>
      </c>
      <c r="R246" s="7" t="str">
        <f>IFERROR(__xludf.DUMMYFUNCTION("""COMPUTED_VALUE"""),"")</f>
        <v/>
      </c>
    </row>
    <row r="247">
      <c r="B247" s="8"/>
      <c r="G247" s="7" t="str">
        <f>IFERROR(__xludf.DUMMYFUNCTION("""COMPUTED_VALUE"""),"")</f>
        <v/>
      </c>
      <c r="K247" s="7" t="str">
        <f>IFERROR(__xludf.DUMMYFUNCTION("""COMPUTED_VALUE"""),"")</f>
        <v/>
      </c>
      <c r="M247" s="7" t="s">
        <v>110</v>
      </c>
      <c r="O247" s="7" t="str">
        <f>IFERROR(__xludf.DUMMYFUNCTION("""COMPUTED_VALUE"""),"")</f>
        <v/>
      </c>
      <c r="Q247" s="7" t="s">
        <v>110</v>
      </c>
      <c r="R247" s="7" t="str">
        <f>IFERROR(__xludf.DUMMYFUNCTION("""COMPUTED_VALUE"""),"")</f>
        <v/>
      </c>
    </row>
    <row r="248">
      <c r="B248" s="8"/>
      <c r="G248" s="7" t="str">
        <f>IFERROR(__xludf.DUMMYFUNCTION("""COMPUTED_VALUE"""),"")</f>
        <v/>
      </c>
      <c r="K248" s="7" t="str">
        <f>IFERROR(__xludf.DUMMYFUNCTION("""COMPUTED_VALUE"""),"")</f>
        <v/>
      </c>
      <c r="M248" s="7" t="s">
        <v>110</v>
      </c>
      <c r="O248" s="7" t="str">
        <f>IFERROR(__xludf.DUMMYFUNCTION("""COMPUTED_VALUE"""),"")</f>
        <v/>
      </c>
      <c r="Q248" s="7" t="s">
        <v>110</v>
      </c>
      <c r="R248" s="7" t="str">
        <f>IFERROR(__xludf.DUMMYFUNCTION("""COMPUTED_VALUE"""),"")</f>
        <v/>
      </c>
    </row>
    <row r="249">
      <c r="B249" s="8"/>
      <c r="G249" s="7" t="str">
        <f>IFERROR(__xludf.DUMMYFUNCTION("""COMPUTED_VALUE"""),"")</f>
        <v/>
      </c>
      <c r="K249" s="7" t="str">
        <f>IFERROR(__xludf.DUMMYFUNCTION("""COMPUTED_VALUE"""),"")</f>
        <v/>
      </c>
      <c r="M249" s="7" t="s">
        <v>110</v>
      </c>
      <c r="O249" s="7" t="str">
        <f>IFERROR(__xludf.DUMMYFUNCTION("""COMPUTED_VALUE"""),"")</f>
        <v/>
      </c>
      <c r="Q249" s="7" t="s">
        <v>110</v>
      </c>
      <c r="R249" s="7" t="str">
        <f>IFERROR(__xludf.DUMMYFUNCTION("""COMPUTED_VALUE"""),"")</f>
        <v/>
      </c>
    </row>
    <row r="250">
      <c r="B250" s="8"/>
      <c r="G250" s="7" t="str">
        <f>IFERROR(__xludf.DUMMYFUNCTION("""COMPUTED_VALUE"""),"")</f>
        <v/>
      </c>
      <c r="K250" s="7" t="str">
        <f>IFERROR(__xludf.DUMMYFUNCTION("""COMPUTED_VALUE"""),"")</f>
        <v/>
      </c>
      <c r="M250" s="7" t="s">
        <v>110</v>
      </c>
      <c r="O250" s="7" t="str">
        <f>IFERROR(__xludf.DUMMYFUNCTION("""COMPUTED_VALUE"""),"")</f>
        <v/>
      </c>
      <c r="Q250" s="7" t="s">
        <v>110</v>
      </c>
      <c r="R250" s="7" t="str">
        <f>IFERROR(__xludf.DUMMYFUNCTION("""COMPUTED_VALUE"""),"")</f>
        <v/>
      </c>
    </row>
    <row r="251">
      <c r="B251" s="8"/>
      <c r="G251" s="7" t="str">
        <f>IFERROR(__xludf.DUMMYFUNCTION("""COMPUTED_VALUE"""),"")</f>
        <v/>
      </c>
      <c r="K251" s="7" t="str">
        <f>IFERROR(__xludf.DUMMYFUNCTION("""COMPUTED_VALUE"""),"")</f>
        <v/>
      </c>
      <c r="M251" s="7" t="s">
        <v>110</v>
      </c>
      <c r="O251" s="7" t="str">
        <f>IFERROR(__xludf.DUMMYFUNCTION("""COMPUTED_VALUE"""),"")</f>
        <v/>
      </c>
      <c r="Q251" s="7" t="s">
        <v>110</v>
      </c>
      <c r="R251" s="7" t="str">
        <f>IFERROR(__xludf.DUMMYFUNCTION("""COMPUTED_VALUE"""),"")</f>
        <v/>
      </c>
    </row>
    <row r="252">
      <c r="B252" s="8"/>
      <c r="G252" s="7" t="str">
        <f>IFERROR(__xludf.DUMMYFUNCTION("""COMPUTED_VALUE"""),"")</f>
        <v/>
      </c>
      <c r="K252" s="7" t="str">
        <f>IFERROR(__xludf.DUMMYFUNCTION("""COMPUTED_VALUE"""),"")</f>
        <v/>
      </c>
      <c r="M252" s="7" t="s">
        <v>110</v>
      </c>
      <c r="O252" s="7" t="str">
        <f>IFERROR(__xludf.DUMMYFUNCTION("""COMPUTED_VALUE"""),"")</f>
        <v/>
      </c>
      <c r="Q252" s="7" t="s">
        <v>110</v>
      </c>
      <c r="R252" s="7" t="str">
        <f>IFERROR(__xludf.DUMMYFUNCTION("""COMPUTED_VALUE"""),"")</f>
        <v/>
      </c>
    </row>
    <row r="253">
      <c r="B253" s="8"/>
      <c r="G253" s="7" t="str">
        <f>IFERROR(__xludf.DUMMYFUNCTION("""COMPUTED_VALUE"""),"")</f>
        <v/>
      </c>
      <c r="K253" s="7" t="str">
        <f>IFERROR(__xludf.DUMMYFUNCTION("""COMPUTED_VALUE"""),"")</f>
        <v/>
      </c>
      <c r="M253" s="7" t="s">
        <v>110</v>
      </c>
      <c r="O253" s="7" t="str">
        <f>IFERROR(__xludf.DUMMYFUNCTION("""COMPUTED_VALUE"""),"")</f>
        <v/>
      </c>
      <c r="Q253" s="7" t="s">
        <v>110</v>
      </c>
      <c r="R253" s="7" t="str">
        <f>IFERROR(__xludf.DUMMYFUNCTION("""COMPUTED_VALUE"""),"")</f>
        <v/>
      </c>
    </row>
    <row r="254">
      <c r="B254" s="8"/>
      <c r="G254" s="7" t="str">
        <f>IFERROR(__xludf.DUMMYFUNCTION("""COMPUTED_VALUE"""),"")</f>
        <v/>
      </c>
      <c r="K254" s="7" t="str">
        <f>IFERROR(__xludf.DUMMYFUNCTION("""COMPUTED_VALUE"""),"")</f>
        <v/>
      </c>
      <c r="M254" s="7" t="s">
        <v>110</v>
      </c>
      <c r="O254" s="7" t="str">
        <f>IFERROR(__xludf.DUMMYFUNCTION("""COMPUTED_VALUE"""),"")</f>
        <v/>
      </c>
      <c r="Q254" s="7" t="s">
        <v>110</v>
      </c>
      <c r="R254" s="7" t="str">
        <f>IFERROR(__xludf.DUMMYFUNCTION("""COMPUTED_VALUE"""),"")</f>
        <v/>
      </c>
    </row>
    <row r="255">
      <c r="B255" s="8"/>
      <c r="G255" s="7" t="str">
        <f>IFERROR(__xludf.DUMMYFUNCTION("""COMPUTED_VALUE"""),"")</f>
        <v/>
      </c>
      <c r="K255" s="7" t="str">
        <f>IFERROR(__xludf.DUMMYFUNCTION("""COMPUTED_VALUE"""),"")</f>
        <v/>
      </c>
      <c r="M255" s="7" t="s">
        <v>110</v>
      </c>
      <c r="O255" s="7" t="str">
        <f>IFERROR(__xludf.DUMMYFUNCTION("""COMPUTED_VALUE"""),"")</f>
        <v/>
      </c>
      <c r="Q255" s="7" t="s">
        <v>110</v>
      </c>
      <c r="R255" s="7" t="str">
        <f>IFERROR(__xludf.DUMMYFUNCTION("""COMPUTED_VALUE"""),"")</f>
        <v/>
      </c>
    </row>
    <row r="256">
      <c r="B256" s="8"/>
      <c r="G256" s="7" t="str">
        <f>IFERROR(__xludf.DUMMYFUNCTION("""COMPUTED_VALUE"""),"")</f>
        <v/>
      </c>
      <c r="K256" s="7" t="str">
        <f>IFERROR(__xludf.DUMMYFUNCTION("""COMPUTED_VALUE"""),"")</f>
        <v/>
      </c>
      <c r="M256" s="7" t="s">
        <v>110</v>
      </c>
      <c r="O256" s="7" t="str">
        <f>IFERROR(__xludf.DUMMYFUNCTION("""COMPUTED_VALUE"""),"")</f>
        <v/>
      </c>
      <c r="Q256" s="7" t="s">
        <v>110</v>
      </c>
      <c r="R256" s="7" t="str">
        <f>IFERROR(__xludf.DUMMYFUNCTION("""COMPUTED_VALUE"""),"")</f>
        <v/>
      </c>
    </row>
    <row r="257">
      <c r="B257" s="8"/>
      <c r="G257" s="7" t="str">
        <f>IFERROR(__xludf.DUMMYFUNCTION("""COMPUTED_VALUE"""),"")</f>
        <v/>
      </c>
      <c r="K257" s="7" t="str">
        <f>IFERROR(__xludf.DUMMYFUNCTION("""COMPUTED_VALUE"""),"")</f>
        <v/>
      </c>
      <c r="M257" s="7" t="s">
        <v>110</v>
      </c>
      <c r="O257" s="7" t="str">
        <f>IFERROR(__xludf.DUMMYFUNCTION("""COMPUTED_VALUE"""),"")</f>
        <v/>
      </c>
      <c r="Q257" s="7" t="s">
        <v>110</v>
      </c>
      <c r="R257" s="7" t="str">
        <f>IFERROR(__xludf.DUMMYFUNCTION("""COMPUTED_VALUE"""),"")</f>
        <v/>
      </c>
    </row>
    <row r="258">
      <c r="B258" s="8"/>
      <c r="G258" s="7" t="str">
        <f>IFERROR(__xludf.DUMMYFUNCTION("""COMPUTED_VALUE"""),"")</f>
        <v/>
      </c>
      <c r="K258" s="7" t="str">
        <f>IFERROR(__xludf.DUMMYFUNCTION("""COMPUTED_VALUE"""),"")</f>
        <v/>
      </c>
      <c r="M258" s="7" t="s">
        <v>110</v>
      </c>
      <c r="O258" s="7" t="str">
        <f>IFERROR(__xludf.DUMMYFUNCTION("""COMPUTED_VALUE"""),"")</f>
        <v/>
      </c>
      <c r="Q258" s="7" t="s">
        <v>110</v>
      </c>
      <c r="R258" s="7" t="str">
        <f>IFERROR(__xludf.DUMMYFUNCTION("""COMPUTED_VALUE"""),"")</f>
        <v/>
      </c>
    </row>
    <row r="259">
      <c r="B259" s="8"/>
      <c r="G259" s="7" t="str">
        <f>IFERROR(__xludf.DUMMYFUNCTION("""COMPUTED_VALUE"""),"")</f>
        <v/>
      </c>
      <c r="K259" s="7" t="str">
        <f>IFERROR(__xludf.DUMMYFUNCTION("""COMPUTED_VALUE"""),"")</f>
        <v/>
      </c>
      <c r="M259" s="7" t="s">
        <v>110</v>
      </c>
      <c r="O259" s="7" t="str">
        <f>IFERROR(__xludf.DUMMYFUNCTION("""COMPUTED_VALUE"""),"")</f>
        <v/>
      </c>
      <c r="Q259" s="7" t="s">
        <v>110</v>
      </c>
      <c r="R259" s="7" t="str">
        <f>IFERROR(__xludf.DUMMYFUNCTION("""COMPUTED_VALUE"""),"")</f>
        <v/>
      </c>
    </row>
    <row r="260">
      <c r="B260" s="8"/>
      <c r="G260" s="7" t="str">
        <f>IFERROR(__xludf.DUMMYFUNCTION("""COMPUTED_VALUE"""),"")</f>
        <v/>
      </c>
      <c r="K260" s="7" t="str">
        <f>IFERROR(__xludf.DUMMYFUNCTION("""COMPUTED_VALUE"""),"")</f>
        <v/>
      </c>
      <c r="M260" s="7" t="s">
        <v>110</v>
      </c>
      <c r="O260" s="7" t="str">
        <f>IFERROR(__xludf.DUMMYFUNCTION("""COMPUTED_VALUE"""),"")</f>
        <v/>
      </c>
      <c r="Q260" s="7" t="s">
        <v>110</v>
      </c>
      <c r="R260" s="7" t="str">
        <f>IFERROR(__xludf.DUMMYFUNCTION("""COMPUTED_VALUE"""),"")</f>
        <v/>
      </c>
    </row>
    <row r="261">
      <c r="B261" s="8"/>
      <c r="G261" s="7" t="str">
        <f>IFERROR(__xludf.DUMMYFUNCTION("""COMPUTED_VALUE"""),"")</f>
        <v/>
      </c>
      <c r="K261" s="7" t="str">
        <f>IFERROR(__xludf.DUMMYFUNCTION("""COMPUTED_VALUE"""),"")</f>
        <v/>
      </c>
      <c r="M261" s="7" t="s">
        <v>110</v>
      </c>
      <c r="O261" s="7" t="str">
        <f>IFERROR(__xludf.DUMMYFUNCTION("""COMPUTED_VALUE"""),"")</f>
        <v/>
      </c>
      <c r="Q261" s="7" t="s">
        <v>110</v>
      </c>
      <c r="R261" s="7" t="str">
        <f>IFERROR(__xludf.DUMMYFUNCTION("""COMPUTED_VALUE"""),"")</f>
        <v/>
      </c>
    </row>
    <row r="262">
      <c r="B262" s="8"/>
      <c r="G262" s="7" t="str">
        <f>IFERROR(__xludf.DUMMYFUNCTION("""COMPUTED_VALUE"""),"")</f>
        <v/>
      </c>
      <c r="K262" s="7" t="str">
        <f>IFERROR(__xludf.DUMMYFUNCTION("""COMPUTED_VALUE"""),"")</f>
        <v/>
      </c>
      <c r="M262" s="7" t="s">
        <v>110</v>
      </c>
      <c r="O262" s="7" t="str">
        <f>IFERROR(__xludf.DUMMYFUNCTION("""COMPUTED_VALUE"""),"")</f>
        <v/>
      </c>
      <c r="Q262" s="7" t="s">
        <v>110</v>
      </c>
      <c r="R262" s="7" t="str">
        <f>IFERROR(__xludf.DUMMYFUNCTION("""COMPUTED_VALUE"""),"")</f>
        <v/>
      </c>
    </row>
    <row r="263">
      <c r="B263" s="8"/>
      <c r="G263" s="7" t="str">
        <f>IFERROR(__xludf.DUMMYFUNCTION("""COMPUTED_VALUE"""),"")</f>
        <v/>
      </c>
      <c r="K263" s="7" t="str">
        <f>IFERROR(__xludf.DUMMYFUNCTION("""COMPUTED_VALUE"""),"")</f>
        <v/>
      </c>
      <c r="M263" s="7" t="s">
        <v>110</v>
      </c>
      <c r="O263" s="7" t="str">
        <f>IFERROR(__xludf.DUMMYFUNCTION("""COMPUTED_VALUE"""),"")</f>
        <v/>
      </c>
      <c r="Q263" s="7" t="s">
        <v>110</v>
      </c>
      <c r="R263" s="7" t="str">
        <f>IFERROR(__xludf.DUMMYFUNCTION("""COMPUTED_VALUE"""),"")</f>
        <v/>
      </c>
    </row>
    <row r="264">
      <c r="B264" s="8"/>
      <c r="G264" s="7" t="str">
        <f>IFERROR(__xludf.DUMMYFUNCTION("""COMPUTED_VALUE"""),"")</f>
        <v/>
      </c>
      <c r="K264" s="7" t="str">
        <f>IFERROR(__xludf.DUMMYFUNCTION("""COMPUTED_VALUE"""),"")</f>
        <v/>
      </c>
      <c r="M264" s="7" t="s">
        <v>110</v>
      </c>
      <c r="O264" s="7" t="str">
        <f>IFERROR(__xludf.DUMMYFUNCTION("""COMPUTED_VALUE"""),"")</f>
        <v/>
      </c>
      <c r="Q264" s="7" t="s">
        <v>110</v>
      </c>
      <c r="R264" s="7" t="str">
        <f>IFERROR(__xludf.DUMMYFUNCTION("""COMPUTED_VALUE"""),"")</f>
        <v/>
      </c>
    </row>
    <row r="265">
      <c r="B265" s="8"/>
      <c r="G265" s="7" t="str">
        <f>IFERROR(__xludf.DUMMYFUNCTION("""COMPUTED_VALUE"""),"")</f>
        <v/>
      </c>
      <c r="K265" s="7" t="str">
        <f>IFERROR(__xludf.DUMMYFUNCTION("""COMPUTED_VALUE"""),"")</f>
        <v/>
      </c>
      <c r="M265" s="7" t="s">
        <v>110</v>
      </c>
      <c r="O265" s="7" t="str">
        <f>IFERROR(__xludf.DUMMYFUNCTION("""COMPUTED_VALUE"""),"")</f>
        <v/>
      </c>
      <c r="Q265" s="7" t="s">
        <v>110</v>
      </c>
      <c r="R265" s="7" t="str">
        <f>IFERROR(__xludf.DUMMYFUNCTION("""COMPUTED_VALUE"""),"")</f>
        <v/>
      </c>
    </row>
    <row r="266">
      <c r="B266" s="8"/>
      <c r="G266" s="7" t="str">
        <f>IFERROR(__xludf.DUMMYFUNCTION("""COMPUTED_VALUE"""),"")</f>
        <v/>
      </c>
      <c r="K266" s="7" t="str">
        <f>IFERROR(__xludf.DUMMYFUNCTION("""COMPUTED_VALUE"""),"")</f>
        <v/>
      </c>
      <c r="M266" s="7" t="s">
        <v>110</v>
      </c>
      <c r="O266" s="7" t="str">
        <f>IFERROR(__xludf.DUMMYFUNCTION("""COMPUTED_VALUE"""),"")</f>
        <v/>
      </c>
      <c r="Q266" s="7" t="s">
        <v>110</v>
      </c>
      <c r="R266" s="7" t="str">
        <f>IFERROR(__xludf.DUMMYFUNCTION("""COMPUTED_VALUE"""),"")</f>
        <v/>
      </c>
    </row>
    <row r="267">
      <c r="B267" s="8"/>
      <c r="G267" s="7" t="str">
        <f>IFERROR(__xludf.DUMMYFUNCTION("""COMPUTED_VALUE"""),"")</f>
        <v/>
      </c>
      <c r="K267" s="7" t="str">
        <f>IFERROR(__xludf.DUMMYFUNCTION("""COMPUTED_VALUE"""),"")</f>
        <v/>
      </c>
      <c r="M267" s="7" t="s">
        <v>110</v>
      </c>
      <c r="O267" s="7" t="str">
        <f>IFERROR(__xludf.DUMMYFUNCTION("""COMPUTED_VALUE"""),"")</f>
        <v/>
      </c>
      <c r="Q267" s="7" t="s">
        <v>110</v>
      </c>
      <c r="R267" s="7" t="str">
        <f>IFERROR(__xludf.DUMMYFUNCTION("""COMPUTED_VALUE"""),"")</f>
        <v/>
      </c>
    </row>
    <row r="268">
      <c r="B268" s="8"/>
      <c r="G268" s="7" t="str">
        <f>IFERROR(__xludf.DUMMYFUNCTION("""COMPUTED_VALUE"""),"")</f>
        <v/>
      </c>
      <c r="K268" s="7" t="str">
        <f>IFERROR(__xludf.DUMMYFUNCTION("""COMPUTED_VALUE"""),"")</f>
        <v/>
      </c>
      <c r="M268" s="7" t="s">
        <v>110</v>
      </c>
      <c r="O268" s="7" t="str">
        <f>IFERROR(__xludf.DUMMYFUNCTION("""COMPUTED_VALUE"""),"")</f>
        <v/>
      </c>
      <c r="Q268" s="7" t="s">
        <v>110</v>
      </c>
      <c r="R268" s="7" t="str">
        <f>IFERROR(__xludf.DUMMYFUNCTION("""COMPUTED_VALUE"""),"")</f>
        <v/>
      </c>
    </row>
    <row r="269">
      <c r="B269" s="8"/>
      <c r="G269" s="7" t="str">
        <f>IFERROR(__xludf.DUMMYFUNCTION("""COMPUTED_VALUE"""),"")</f>
        <v/>
      </c>
      <c r="K269" s="7" t="str">
        <f>IFERROR(__xludf.DUMMYFUNCTION("""COMPUTED_VALUE"""),"")</f>
        <v/>
      </c>
      <c r="M269" s="7" t="s">
        <v>110</v>
      </c>
      <c r="O269" s="7" t="str">
        <f>IFERROR(__xludf.DUMMYFUNCTION("""COMPUTED_VALUE"""),"")</f>
        <v/>
      </c>
      <c r="Q269" s="7" t="s">
        <v>110</v>
      </c>
      <c r="R269" s="7" t="str">
        <f>IFERROR(__xludf.DUMMYFUNCTION("""COMPUTED_VALUE"""),"")</f>
        <v/>
      </c>
    </row>
    <row r="270">
      <c r="B270" s="8"/>
      <c r="G270" s="7" t="str">
        <f>IFERROR(__xludf.DUMMYFUNCTION("""COMPUTED_VALUE"""),"")</f>
        <v/>
      </c>
      <c r="K270" s="7" t="str">
        <f>IFERROR(__xludf.DUMMYFUNCTION("""COMPUTED_VALUE"""),"")</f>
        <v/>
      </c>
      <c r="M270" s="7" t="s">
        <v>110</v>
      </c>
      <c r="O270" s="7" t="str">
        <f>IFERROR(__xludf.DUMMYFUNCTION("""COMPUTED_VALUE"""),"")</f>
        <v/>
      </c>
      <c r="Q270" s="7" t="s">
        <v>110</v>
      </c>
      <c r="R270" s="7" t="str">
        <f>IFERROR(__xludf.DUMMYFUNCTION("""COMPUTED_VALUE"""),"")</f>
        <v/>
      </c>
    </row>
    <row r="271">
      <c r="B271" s="8"/>
      <c r="G271" s="7" t="str">
        <f>IFERROR(__xludf.DUMMYFUNCTION("""COMPUTED_VALUE"""),"")</f>
        <v/>
      </c>
      <c r="K271" s="7" t="str">
        <f>IFERROR(__xludf.DUMMYFUNCTION("""COMPUTED_VALUE"""),"")</f>
        <v/>
      </c>
      <c r="M271" s="7" t="s">
        <v>110</v>
      </c>
      <c r="O271" s="7" t="str">
        <f>IFERROR(__xludf.DUMMYFUNCTION("""COMPUTED_VALUE"""),"")</f>
        <v/>
      </c>
      <c r="Q271" s="7" t="s">
        <v>110</v>
      </c>
      <c r="R271" s="7" t="str">
        <f>IFERROR(__xludf.DUMMYFUNCTION("""COMPUTED_VALUE"""),"")</f>
        <v/>
      </c>
    </row>
    <row r="272">
      <c r="B272" s="8"/>
      <c r="G272" s="7" t="str">
        <f>IFERROR(__xludf.DUMMYFUNCTION("""COMPUTED_VALUE"""),"")</f>
        <v/>
      </c>
      <c r="K272" s="7" t="str">
        <f>IFERROR(__xludf.DUMMYFUNCTION("""COMPUTED_VALUE"""),"")</f>
        <v/>
      </c>
      <c r="M272" s="7" t="s">
        <v>110</v>
      </c>
      <c r="O272" s="7" t="str">
        <f>IFERROR(__xludf.DUMMYFUNCTION("""COMPUTED_VALUE"""),"")</f>
        <v/>
      </c>
      <c r="Q272" s="7" t="s">
        <v>110</v>
      </c>
      <c r="R272" s="7" t="str">
        <f>IFERROR(__xludf.DUMMYFUNCTION("""COMPUTED_VALUE"""),"")</f>
        <v/>
      </c>
    </row>
    <row r="273">
      <c r="B273" s="8"/>
      <c r="G273" s="7" t="str">
        <f>IFERROR(__xludf.DUMMYFUNCTION("""COMPUTED_VALUE"""),"")</f>
        <v/>
      </c>
      <c r="K273" s="7" t="str">
        <f>IFERROR(__xludf.DUMMYFUNCTION("""COMPUTED_VALUE"""),"")</f>
        <v/>
      </c>
      <c r="M273" s="7" t="s">
        <v>110</v>
      </c>
      <c r="O273" s="7" t="str">
        <f>IFERROR(__xludf.DUMMYFUNCTION("""COMPUTED_VALUE"""),"")</f>
        <v/>
      </c>
      <c r="Q273" s="7" t="s">
        <v>110</v>
      </c>
      <c r="R273" s="7" t="str">
        <f>IFERROR(__xludf.DUMMYFUNCTION("""COMPUTED_VALUE"""),"")</f>
        <v/>
      </c>
    </row>
    <row r="274">
      <c r="B274" s="8"/>
      <c r="G274" s="7" t="str">
        <f>IFERROR(__xludf.DUMMYFUNCTION("""COMPUTED_VALUE"""),"")</f>
        <v/>
      </c>
      <c r="K274" s="7" t="str">
        <f>IFERROR(__xludf.DUMMYFUNCTION("""COMPUTED_VALUE"""),"")</f>
        <v/>
      </c>
      <c r="M274" s="7" t="s">
        <v>110</v>
      </c>
      <c r="O274" s="7" t="str">
        <f>IFERROR(__xludf.DUMMYFUNCTION("""COMPUTED_VALUE"""),"")</f>
        <v/>
      </c>
      <c r="Q274" s="7" t="s">
        <v>110</v>
      </c>
      <c r="R274" s="7" t="str">
        <f>IFERROR(__xludf.DUMMYFUNCTION("""COMPUTED_VALUE"""),"")</f>
        <v/>
      </c>
    </row>
    <row r="275">
      <c r="B275" s="8"/>
      <c r="G275" s="7" t="str">
        <f>IFERROR(__xludf.DUMMYFUNCTION("""COMPUTED_VALUE"""),"")</f>
        <v/>
      </c>
      <c r="K275" s="7" t="str">
        <f>IFERROR(__xludf.DUMMYFUNCTION("""COMPUTED_VALUE"""),"")</f>
        <v/>
      </c>
      <c r="M275" s="7" t="s">
        <v>110</v>
      </c>
      <c r="O275" s="7" t="str">
        <f>IFERROR(__xludf.DUMMYFUNCTION("""COMPUTED_VALUE"""),"")</f>
        <v/>
      </c>
      <c r="Q275" s="7" t="s">
        <v>110</v>
      </c>
      <c r="R275" s="7" t="str">
        <f>IFERROR(__xludf.DUMMYFUNCTION("""COMPUTED_VALUE"""),"")</f>
        <v/>
      </c>
    </row>
    <row r="276">
      <c r="B276" s="8"/>
      <c r="G276" s="7" t="str">
        <f>IFERROR(__xludf.DUMMYFUNCTION("""COMPUTED_VALUE"""),"")</f>
        <v/>
      </c>
      <c r="K276" s="7" t="str">
        <f>IFERROR(__xludf.DUMMYFUNCTION("""COMPUTED_VALUE"""),"")</f>
        <v/>
      </c>
      <c r="M276" s="7" t="s">
        <v>110</v>
      </c>
      <c r="O276" s="7" t="str">
        <f>IFERROR(__xludf.DUMMYFUNCTION("""COMPUTED_VALUE"""),"")</f>
        <v/>
      </c>
      <c r="Q276" s="7" t="s">
        <v>110</v>
      </c>
      <c r="R276" s="7" t="str">
        <f>IFERROR(__xludf.DUMMYFUNCTION("""COMPUTED_VALUE"""),"")</f>
        <v/>
      </c>
    </row>
    <row r="277">
      <c r="B277" s="8"/>
      <c r="G277" s="7" t="str">
        <f>IFERROR(__xludf.DUMMYFUNCTION("""COMPUTED_VALUE"""),"")</f>
        <v/>
      </c>
      <c r="K277" s="7" t="str">
        <f>IFERROR(__xludf.DUMMYFUNCTION("""COMPUTED_VALUE"""),"")</f>
        <v/>
      </c>
      <c r="M277" s="7" t="s">
        <v>110</v>
      </c>
      <c r="O277" s="7" t="str">
        <f>IFERROR(__xludf.DUMMYFUNCTION("""COMPUTED_VALUE"""),"")</f>
        <v/>
      </c>
      <c r="Q277" s="7" t="s">
        <v>110</v>
      </c>
      <c r="R277" s="7" t="str">
        <f>IFERROR(__xludf.DUMMYFUNCTION("""COMPUTED_VALUE"""),"")</f>
        <v/>
      </c>
    </row>
    <row r="278">
      <c r="B278" s="8"/>
      <c r="G278" s="7" t="str">
        <f>IFERROR(__xludf.DUMMYFUNCTION("""COMPUTED_VALUE"""),"")</f>
        <v/>
      </c>
      <c r="K278" s="7" t="str">
        <f>IFERROR(__xludf.DUMMYFUNCTION("""COMPUTED_VALUE"""),"")</f>
        <v/>
      </c>
      <c r="M278" s="7" t="s">
        <v>110</v>
      </c>
      <c r="O278" s="7" t="str">
        <f>IFERROR(__xludf.DUMMYFUNCTION("""COMPUTED_VALUE"""),"")</f>
        <v/>
      </c>
      <c r="Q278" s="7" t="s">
        <v>110</v>
      </c>
      <c r="R278" s="7" t="str">
        <f>IFERROR(__xludf.DUMMYFUNCTION("""COMPUTED_VALUE"""),"")</f>
        <v/>
      </c>
    </row>
    <row r="279">
      <c r="B279" s="8"/>
      <c r="G279" s="7" t="str">
        <f>IFERROR(__xludf.DUMMYFUNCTION("""COMPUTED_VALUE"""),"")</f>
        <v/>
      </c>
      <c r="K279" s="7" t="str">
        <f>IFERROR(__xludf.DUMMYFUNCTION("""COMPUTED_VALUE"""),"")</f>
        <v/>
      </c>
      <c r="M279" s="7" t="s">
        <v>110</v>
      </c>
      <c r="O279" s="7" t="str">
        <f>IFERROR(__xludf.DUMMYFUNCTION("""COMPUTED_VALUE"""),"")</f>
        <v/>
      </c>
      <c r="Q279" s="7" t="s">
        <v>110</v>
      </c>
      <c r="R279" s="7" t="str">
        <f>IFERROR(__xludf.DUMMYFUNCTION("""COMPUTED_VALUE"""),"")</f>
        <v/>
      </c>
    </row>
    <row r="280">
      <c r="B280" s="8"/>
      <c r="G280" s="7" t="str">
        <f>IFERROR(__xludf.DUMMYFUNCTION("""COMPUTED_VALUE"""),"")</f>
        <v/>
      </c>
      <c r="K280" s="7" t="str">
        <f>IFERROR(__xludf.DUMMYFUNCTION("""COMPUTED_VALUE"""),"")</f>
        <v/>
      </c>
      <c r="M280" s="7" t="s">
        <v>110</v>
      </c>
      <c r="O280" s="7" t="str">
        <f>IFERROR(__xludf.DUMMYFUNCTION("""COMPUTED_VALUE"""),"")</f>
        <v/>
      </c>
      <c r="Q280" s="7" t="s">
        <v>110</v>
      </c>
      <c r="R280" s="7" t="str">
        <f>IFERROR(__xludf.DUMMYFUNCTION("""COMPUTED_VALUE"""),"")</f>
        <v/>
      </c>
    </row>
    <row r="281">
      <c r="B281" s="8"/>
      <c r="G281" s="7" t="str">
        <f>IFERROR(__xludf.DUMMYFUNCTION("""COMPUTED_VALUE"""),"")</f>
        <v/>
      </c>
      <c r="K281" s="7" t="str">
        <f>IFERROR(__xludf.DUMMYFUNCTION("""COMPUTED_VALUE"""),"")</f>
        <v/>
      </c>
      <c r="M281" s="7" t="s">
        <v>110</v>
      </c>
      <c r="O281" s="7" t="str">
        <f>IFERROR(__xludf.DUMMYFUNCTION("""COMPUTED_VALUE"""),"")</f>
        <v/>
      </c>
      <c r="Q281" s="7" t="s">
        <v>110</v>
      </c>
      <c r="R281" s="7" t="str">
        <f>IFERROR(__xludf.DUMMYFUNCTION("""COMPUTED_VALUE"""),"")</f>
        <v/>
      </c>
    </row>
    <row r="282">
      <c r="B282" s="8"/>
      <c r="G282" s="7" t="str">
        <f>IFERROR(__xludf.DUMMYFUNCTION("""COMPUTED_VALUE"""),"")</f>
        <v/>
      </c>
      <c r="K282" s="7" t="str">
        <f>IFERROR(__xludf.DUMMYFUNCTION("""COMPUTED_VALUE"""),"")</f>
        <v/>
      </c>
      <c r="M282" s="7" t="s">
        <v>110</v>
      </c>
      <c r="O282" s="7" t="str">
        <f>IFERROR(__xludf.DUMMYFUNCTION("""COMPUTED_VALUE"""),"")</f>
        <v/>
      </c>
      <c r="Q282" s="7" t="s">
        <v>110</v>
      </c>
      <c r="R282" s="7" t="str">
        <f>IFERROR(__xludf.DUMMYFUNCTION("""COMPUTED_VALUE"""),"")</f>
        <v/>
      </c>
    </row>
    <row r="283">
      <c r="B283" s="8"/>
      <c r="G283" s="7" t="str">
        <f>IFERROR(__xludf.DUMMYFUNCTION("""COMPUTED_VALUE"""),"")</f>
        <v/>
      </c>
      <c r="K283" s="7" t="str">
        <f>IFERROR(__xludf.DUMMYFUNCTION("""COMPUTED_VALUE"""),"")</f>
        <v/>
      </c>
      <c r="M283" s="7" t="s">
        <v>110</v>
      </c>
      <c r="O283" s="7" t="str">
        <f>IFERROR(__xludf.DUMMYFUNCTION("""COMPUTED_VALUE"""),"")</f>
        <v/>
      </c>
      <c r="Q283" s="7" t="s">
        <v>110</v>
      </c>
      <c r="R283" s="7" t="str">
        <f>IFERROR(__xludf.DUMMYFUNCTION("""COMPUTED_VALUE"""),"")</f>
        <v/>
      </c>
    </row>
    <row r="284">
      <c r="B284" s="8"/>
      <c r="G284" s="7" t="str">
        <f>IFERROR(__xludf.DUMMYFUNCTION("""COMPUTED_VALUE"""),"")</f>
        <v/>
      </c>
      <c r="K284" s="7" t="str">
        <f>IFERROR(__xludf.DUMMYFUNCTION("""COMPUTED_VALUE"""),"")</f>
        <v/>
      </c>
      <c r="M284" s="7" t="s">
        <v>110</v>
      </c>
      <c r="O284" s="7" t="str">
        <f>IFERROR(__xludf.DUMMYFUNCTION("""COMPUTED_VALUE"""),"")</f>
        <v/>
      </c>
      <c r="Q284" s="7" t="s">
        <v>110</v>
      </c>
      <c r="R284" s="7" t="str">
        <f>IFERROR(__xludf.DUMMYFUNCTION("""COMPUTED_VALUE"""),"")</f>
        <v/>
      </c>
    </row>
    <row r="285">
      <c r="B285" s="8"/>
      <c r="G285" s="7" t="str">
        <f>IFERROR(__xludf.DUMMYFUNCTION("""COMPUTED_VALUE"""),"")</f>
        <v/>
      </c>
      <c r="K285" s="7" t="str">
        <f>IFERROR(__xludf.DUMMYFUNCTION("""COMPUTED_VALUE"""),"")</f>
        <v/>
      </c>
      <c r="M285" s="7" t="s">
        <v>110</v>
      </c>
      <c r="O285" s="7" t="str">
        <f>IFERROR(__xludf.DUMMYFUNCTION("""COMPUTED_VALUE"""),"")</f>
        <v/>
      </c>
      <c r="Q285" s="7" t="s">
        <v>110</v>
      </c>
      <c r="R285" s="7" t="str">
        <f>IFERROR(__xludf.DUMMYFUNCTION("""COMPUTED_VALUE"""),"")</f>
        <v/>
      </c>
    </row>
    <row r="286">
      <c r="B286" s="8"/>
      <c r="G286" s="7" t="str">
        <f>IFERROR(__xludf.DUMMYFUNCTION("""COMPUTED_VALUE"""),"")</f>
        <v/>
      </c>
      <c r="K286" s="7" t="str">
        <f>IFERROR(__xludf.DUMMYFUNCTION("""COMPUTED_VALUE"""),"")</f>
        <v/>
      </c>
      <c r="M286" s="7" t="s">
        <v>110</v>
      </c>
      <c r="O286" s="7" t="str">
        <f>IFERROR(__xludf.DUMMYFUNCTION("""COMPUTED_VALUE"""),"")</f>
        <v/>
      </c>
      <c r="Q286" s="7" t="s">
        <v>110</v>
      </c>
      <c r="R286" s="7" t="str">
        <f>IFERROR(__xludf.DUMMYFUNCTION("""COMPUTED_VALUE"""),"")</f>
        <v/>
      </c>
    </row>
    <row r="287">
      <c r="B287" s="8"/>
      <c r="G287" s="7" t="str">
        <f>IFERROR(__xludf.DUMMYFUNCTION("""COMPUTED_VALUE"""),"")</f>
        <v/>
      </c>
      <c r="K287" s="7" t="str">
        <f>IFERROR(__xludf.DUMMYFUNCTION("""COMPUTED_VALUE"""),"")</f>
        <v/>
      </c>
      <c r="M287" s="7" t="s">
        <v>110</v>
      </c>
      <c r="O287" s="7" t="str">
        <f>IFERROR(__xludf.DUMMYFUNCTION("""COMPUTED_VALUE"""),"")</f>
        <v/>
      </c>
      <c r="Q287" s="7" t="s">
        <v>110</v>
      </c>
      <c r="R287" s="7" t="str">
        <f>IFERROR(__xludf.DUMMYFUNCTION("""COMPUTED_VALUE"""),"")</f>
        <v/>
      </c>
    </row>
    <row r="288">
      <c r="B288" s="8"/>
      <c r="G288" s="7" t="str">
        <f>IFERROR(__xludf.DUMMYFUNCTION("""COMPUTED_VALUE"""),"")</f>
        <v/>
      </c>
      <c r="K288" s="7" t="str">
        <f>IFERROR(__xludf.DUMMYFUNCTION("""COMPUTED_VALUE"""),"")</f>
        <v/>
      </c>
      <c r="M288" s="7" t="s">
        <v>110</v>
      </c>
      <c r="O288" s="7" t="str">
        <f>IFERROR(__xludf.DUMMYFUNCTION("""COMPUTED_VALUE"""),"")</f>
        <v/>
      </c>
      <c r="Q288" s="7" t="s">
        <v>110</v>
      </c>
      <c r="R288" s="7" t="str">
        <f>IFERROR(__xludf.DUMMYFUNCTION("""COMPUTED_VALUE"""),"")</f>
        <v/>
      </c>
    </row>
    <row r="289">
      <c r="B289" s="8"/>
      <c r="G289" s="7" t="str">
        <f>IFERROR(__xludf.DUMMYFUNCTION("""COMPUTED_VALUE"""),"")</f>
        <v/>
      </c>
      <c r="K289" s="7" t="str">
        <f>IFERROR(__xludf.DUMMYFUNCTION("""COMPUTED_VALUE"""),"")</f>
        <v/>
      </c>
      <c r="M289" s="7" t="s">
        <v>110</v>
      </c>
      <c r="O289" s="7" t="str">
        <f>IFERROR(__xludf.DUMMYFUNCTION("""COMPUTED_VALUE"""),"")</f>
        <v/>
      </c>
      <c r="Q289" s="7" t="s">
        <v>110</v>
      </c>
      <c r="R289" s="7" t="str">
        <f>IFERROR(__xludf.DUMMYFUNCTION("""COMPUTED_VALUE"""),"")</f>
        <v/>
      </c>
    </row>
    <row r="290">
      <c r="B290" s="8"/>
      <c r="G290" s="7" t="str">
        <f>IFERROR(__xludf.DUMMYFUNCTION("""COMPUTED_VALUE"""),"")</f>
        <v/>
      </c>
      <c r="K290" s="7" t="str">
        <f>IFERROR(__xludf.DUMMYFUNCTION("""COMPUTED_VALUE"""),"")</f>
        <v/>
      </c>
      <c r="M290" s="7" t="s">
        <v>110</v>
      </c>
      <c r="O290" s="7" t="str">
        <f>IFERROR(__xludf.DUMMYFUNCTION("""COMPUTED_VALUE"""),"")</f>
        <v/>
      </c>
      <c r="Q290" s="7" t="s">
        <v>110</v>
      </c>
      <c r="R290" s="7" t="str">
        <f>IFERROR(__xludf.DUMMYFUNCTION("""COMPUTED_VALUE"""),"")</f>
        <v/>
      </c>
    </row>
    <row r="291">
      <c r="B291" s="8"/>
      <c r="G291" s="7" t="str">
        <f>IFERROR(__xludf.DUMMYFUNCTION("""COMPUTED_VALUE"""),"")</f>
        <v/>
      </c>
      <c r="K291" s="7" t="str">
        <f>IFERROR(__xludf.DUMMYFUNCTION("""COMPUTED_VALUE"""),"")</f>
        <v/>
      </c>
      <c r="M291" s="7" t="s">
        <v>110</v>
      </c>
      <c r="O291" s="7" t="str">
        <f>IFERROR(__xludf.DUMMYFUNCTION("""COMPUTED_VALUE"""),"")</f>
        <v/>
      </c>
      <c r="Q291" s="7" t="s">
        <v>110</v>
      </c>
      <c r="R291" s="7" t="str">
        <f>IFERROR(__xludf.DUMMYFUNCTION("""COMPUTED_VALUE"""),"")</f>
        <v/>
      </c>
    </row>
    <row r="292">
      <c r="B292" s="8"/>
      <c r="G292" s="7" t="str">
        <f>IFERROR(__xludf.DUMMYFUNCTION("""COMPUTED_VALUE"""),"")</f>
        <v/>
      </c>
      <c r="K292" s="7" t="str">
        <f>IFERROR(__xludf.DUMMYFUNCTION("""COMPUTED_VALUE"""),"")</f>
        <v/>
      </c>
      <c r="M292" s="7" t="s">
        <v>110</v>
      </c>
      <c r="O292" s="7" t="str">
        <f>IFERROR(__xludf.DUMMYFUNCTION("""COMPUTED_VALUE"""),"")</f>
        <v/>
      </c>
      <c r="Q292" s="7" t="s">
        <v>110</v>
      </c>
      <c r="R292" s="7" t="str">
        <f>IFERROR(__xludf.DUMMYFUNCTION("""COMPUTED_VALUE"""),"")</f>
        <v/>
      </c>
    </row>
    <row r="293">
      <c r="B293" s="8"/>
      <c r="G293" s="7" t="str">
        <f>IFERROR(__xludf.DUMMYFUNCTION("""COMPUTED_VALUE"""),"")</f>
        <v/>
      </c>
      <c r="K293" s="7" t="str">
        <f>IFERROR(__xludf.DUMMYFUNCTION("""COMPUTED_VALUE"""),"")</f>
        <v/>
      </c>
      <c r="M293" s="7" t="s">
        <v>110</v>
      </c>
      <c r="O293" s="7" t="str">
        <f>IFERROR(__xludf.DUMMYFUNCTION("""COMPUTED_VALUE"""),"")</f>
        <v/>
      </c>
      <c r="Q293" s="7" t="s">
        <v>110</v>
      </c>
      <c r="R293" s="7" t="str">
        <f>IFERROR(__xludf.DUMMYFUNCTION("""COMPUTED_VALUE"""),"")</f>
        <v/>
      </c>
    </row>
    <row r="294">
      <c r="B294" s="8"/>
      <c r="G294" s="7" t="str">
        <f>IFERROR(__xludf.DUMMYFUNCTION("""COMPUTED_VALUE"""),"")</f>
        <v/>
      </c>
      <c r="K294" s="7" t="str">
        <f>IFERROR(__xludf.DUMMYFUNCTION("""COMPUTED_VALUE"""),"")</f>
        <v/>
      </c>
      <c r="M294" s="7" t="s">
        <v>110</v>
      </c>
      <c r="O294" s="7" t="str">
        <f>IFERROR(__xludf.DUMMYFUNCTION("""COMPUTED_VALUE"""),"")</f>
        <v/>
      </c>
      <c r="Q294" s="7" t="s">
        <v>110</v>
      </c>
      <c r="R294" s="7" t="str">
        <f>IFERROR(__xludf.DUMMYFUNCTION("""COMPUTED_VALUE"""),"")</f>
        <v/>
      </c>
    </row>
    <row r="295">
      <c r="B295" s="8"/>
      <c r="G295" s="7" t="str">
        <f>IFERROR(__xludf.DUMMYFUNCTION("""COMPUTED_VALUE"""),"")</f>
        <v/>
      </c>
      <c r="K295" s="7" t="str">
        <f>IFERROR(__xludf.DUMMYFUNCTION("""COMPUTED_VALUE"""),"")</f>
        <v/>
      </c>
      <c r="M295" s="7" t="s">
        <v>110</v>
      </c>
      <c r="O295" s="7" t="str">
        <f>IFERROR(__xludf.DUMMYFUNCTION("""COMPUTED_VALUE"""),"")</f>
        <v/>
      </c>
      <c r="Q295" s="7" t="s">
        <v>110</v>
      </c>
      <c r="R295" s="7" t="str">
        <f>IFERROR(__xludf.DUMMYFUNCTION("""COMPUTED_VALUE"""),"")</f>
        <v/>
      </c>
    </row>
    <row r="296">
      <c r="B296" s="8"/>
      <c r="G296" s="7" t="str">
        <f>IFERROR(__xludf.DUMMYFUNCTION("""COMPUTED_VALUE"""),"")</f>
        <v/>
      </c>
      <c r="K296" s="7" t="str">
        <f>IFERROR(__xludf.DUMMYFUNCTION("""COMPUTED_VALUE"""),"")</f>
        <v/>
      </c>
      <c r="M296" s="7" t="s">
        <v>110</v>
      </c>
      <c r="O296" s="7" t="str">
        <f>IFERROR(__xludf.DUMMYFUNCTION("""COMPUTED_VALUE"""),"")</f>
        <v/>
      </c>
      <c r="Q296" s="7" t="s">
        <v>110</v>
      </c>
      <c r="R296" s="7" t="str">
        <f>IFERROR(__xludf.DUMMYFUNCTION("""COMPUTED_VALUE"""),"")</f>
        <v/>
      </c>
    </row>
    <row r="297">
      <c r="B297" s="8"/>
      <c r="G297" s="7" t="str">
        <f>IFERROR(__xludf.DUMMYFUNCTION("""COMPUTED_VALUE"""),"")</f>
        <v/>
      </c>
      <c r="K297" s="7" t="str">
        <f>IFERROR(__xludf.DUMMYFUNCTION("""COMPUTED_VALUE"""),"")</f>
        <v/>
      </c>
      <c r="M297" s="7" t="s">
        <v>110</v>
      </c>
      <c r="O297" s="7" t="str">
        <f>IFERROR(__xludf.DUMMYFUNCTION("""COMPUTED_VALUE"""),"")</f>
        <v/>
      </c>
      <c r="Q297" s="7" t="s">
        <v>110</v>
      </c>
      <c r="R297" s="7" t="str">
        <f>IFERROR(__xludf.DUMMYFUNCTION("""COMPUTED_VALUE"""),"")</f>
        <v/>
      </c>
    </row>
    <row r="298">
      <c r="B298" s="8"/>
      <c r="G298" s="7" t="str">
        <f>IFERROR(__xludf.DUMMYFUNCTION("""COMPUTED_VALUE"""),"")</f>
        <v/>
      </c>
      <c r="K298" s="7" t="str">
        <f>IFERROR(__xludf.DUMMYFUNCTION("""COMPUTED_VALUE"""),"")</f>
        <v/>
      </c>
      <c r="M298" s="7" t="s">
        <v>110</v>
      </c>
      <c r="O298" s="7" t="str">
        <f>IFERROR(__xludf.DUMMYFUNCTION("""COMPUTED_VALUE"""),"")</f>
        <v/>
      </c>
      <c r="Q298" s="7" t="s">
        <v>110</v>
      </c>
      <c r="R298" s="7" t="str">
        <f>IFERROR(__xludf.DUMMYFUNCTION("""COMPUTED_VALUE"""),"")</f>
        <v/>
      </c>
    </row>
    <row r="299">
      <c r="B299" s="8"/>
      <c r="G299" s="7" t="str">
        <f>IFERROR(__xludf.DUMMYFUNCTION("""COMPUTED_VALUE"""),"")</f>
        <v/>
      </c>
      <c r="K299" s="7" t="str">
        <f>IFERROR(__xludf.DUMMYFUNCTION("""COMPUTED_VALUE"""),"")</f>
        <v/>
      </c>
      <c r="M299" s="7" t="s">
        <v>110</v>
      </c>
      <c r="O299" s="7" t="str">
        <f>IFERROR(__xludf.DUMMYFUNCTION("""COMPUTED_VALUE"""),"")</f>
        <v/>
      </c>
      <c r="Q299" s="7" t="s">
        <v>110</v>
      </c>
      <c r="R299" s="7" t="str">
        <f>IFERROR(__xludf.DUMMYFUNCTION("""COMPUTED_VALUE"""),"")</f>
        <v/>
      </c>
    </row>
    <row r="300">
      <c r="B300" s="8"/>
      <c r="G300" s="7" t="str">
        <f>IFERROR(__xludf.DUMMYFUNCTION("""COMPUTED_VALUE"""),"")</f>
        <v/>
      </c>
      <c r="K300" s="7" t="str">
        <f>IFERROR(__xludf.DUMMYFUNCTION("""COMPUTED_VALUE"""),"")</f>
        <v/>
      </c>
      <c r="M300" s="7" t="s">
        <v>110</v>
      </c>
      <c r="O300" s="7" t="str">
        <f>IFERROR(__xludf.DUMMYFUNCTION("""COMPUTED_VALUE"""),"")</f>
        <v/>
      </c>
      <c r="Q300" s="7" t="s">
        <v>110</v>
      </c>
      <c r="R300" s="7" t="str">
        <f>IFERROR(__xludf.DUMMYFUNCTION("""COMPUTED_VALUE"""),"")</f>
        <v/>
      </c>
    </row>
    <row r="301">
      <c r="B301" s="8"/>
      <c r="G301" s="7" t="str">
        <f>IFERROR(__xludf.DUMMYFUNCTION("""COMPUTED_VALUE"""),"")</f>
        <v/>
      </c>
      <c r="K301" s="7" t="str">
        <f>IFERROR(__xludf.DUMMYFUNCTION("""COMPUTED_VALUE"""),"")</f>
        <v/>
      </c>
      <c r="M301" s="7" t="s">
        <v>110</v>
      </c>
      <c r="O301" s="7" t="str">
        <f>IFERROR(__xludf.DUMMYFUNCTION("""COMPUTED_VALUE"""),"")</f>
        <v/>
      </c>
      <c r="Q301" s="7" t="s">
        <v>110</v>
      </c>
      <c r="R301" s="7" t="str">
        <f>IFERROR(__xludf.DUMMYFUNCTION("""COMPUTED_VALUE"""),"")</f>
        <v/>
      </c>
    </row>
    <row r="302">
      <c r="B302" s="8"/>
      <c r="G302" s="7" t="str">
        <f>IFERROR(__xludf.DUMMYFUNCTION("""COMPUTED_VALUE"""),"")</f>
        <v/>
      </c>
      <c r="K302" s="7" t="str">
        <f>IFERROR(__xludf.DUMMYFUNCTION("""COMPUTED_VALUE"""),"")</f>
        <v/>
      </c>
      <c r="M302" s="7" t="s">
        <v>110</v>
      </c>
      <c r="O302" s="7" t="str">
        <f>IFERROR(__xludf.DUMMYFUNCTION("""COMPUTED_VALUE"""),"")</f>
        <v/>
      </c>
      <c r="Q302" s="7" t="s">
        <v>110</v>
      </c>
      <c r="R302" s="7" t="str">
        <f>IFERROR(__xludf.DUMMYFUNCTION("""COMPUTED_VALUE"""),"")</f>
        <v/>
      </c>
    </row>
    <row r="303">
      <c r="B303" s="8"/>
      <c r="G303" s="7" t="str">
        <f>IFERROR(__xludf.DUMMYFUNCTION("""COMPUTED_VALUE"""),"")</f>
        <v/>
      </c>
      <c r="K303" s="7" t="str">
        <f>IFERROR(__xludf.DUMMYFUNCTION("""COMPUTED_VALUE"""),"")</f>
        <v/>
      </c>
      <c r="M303" s="7" t="s">
        <v>110</v>
      </c>
      <c r="O303" s="7" t="str">
        <f>IFERROR(__xludf.DUMMYFUNCTION("""COMPUTED_VALUE"""),"")</f>
        <v/>
      </c>
      <c r="Q303" s="7" t="s">
        <v>110</v>
      </c>
      <c r="R303" s="7" t="str">
        <f>IFERROR(__xludf.DUMMYFUNCTION("""COMPUTED_VALUE"""),"")</f>
        <v/>
      </c>
    </row>
    <row r="304">
      <c r="B304" s="8"/>
      <c r="G304" s="7" t="str">
        <f>IFERROR(__xludf.DUMMYFUNCTION("""COMPUTED_VALUE"""),"")</f>
        <v/>
      </c>
      <c r="K304" s="7" t="str">
        <f>IFERROR(__xludf.DUMMYFUNCTION("""COMPUTED_VALUE"""),"")</f>
        <v/>
      </c>
      <c r="M304" s="7" t="s">
        <v>110</v>
      </c>
      <c r="O304" s="7" t="str">
        <f>IFERROR(__xludf.DUMMYFUNCTION("""COMPUTED_VALUE"""),"")</f>
        <v/>
      </c>
      <c r="Q304" s="7" t="s">
        <v>110</v>
      </c>
      <c r="R304" s="7" t="str">
        <f>IFERROR(__xludf.DUMMYFUNCTION("""COMPUTED_VALUE"""),"")</f>
        <v/>
      </c>
    </row>
    <row r="305">
      <c r="B305" s="8"/>
      <c r="G305" s="7" t="str">
        <f>IFERROR(__xludf.DUMMYFUNCTION("""COMPUTED_VALUE"""),"")</f>
        <v/>
      </c>
      <c r="K305" s="7" t="str">
        <f>IFERROR(__xludf.DUMMYFUNCTION("""COMPUTED_VALUE"""),"")</f>
        <v/>
      </c>
      <c r="M305" s="7" t="s">
        <v>110</v>
      </c>
      <c r="O305" s="7" t="str">
        <f>IFERROR(__xludf.DUMMYFUNCTION("""COMPUTED_VALUE"""),"")</f>
        <v/>
      </c>
      <c r="Q305" s="7" t="s">
        <v>110</v>
      </c>
      <c r="R305" s="7" t="str">
        <f>IFERROR(__xludf.DUMMYFUNCTION("""COMPUTED_VALUE"""),"")</f>
        <v/>
      </c>
    </row>
    <row r="306">
      <c r="B306" s="8"/>
      <c r="G306" s="7" t="str">
        <f>IFERROR(__xludf.DUMMYFUNCTION("""COMPUTED_VALUE"""),"")</f>
        <v/>
      </c>
      <c r="K306" s="7" t="str">
        <f>IFERROR(__xludf.DUMMYFUNCTION("""COMPUTED_VALUE"""),"")</f>
        <v/>
      </c>
      <c r="M306" s="7" t="s">
        <v>110</v>
      </c>
      <c r="O306" s="7" t="str">
        <f>IFERROR(__xludf.DUMMYFUNCTION("""COMPUTED_VALUE"""),"")</f>
        <v/>
      </c>
      <c r="Q306" s="7" t="s">
        <v>110</v>
      </c>
      <c r="R306" s="7" t="str">
        <f>IFERROR(__xludf.DUMMYFUNCTION("""COMPUTED_VALUE"""),"")</f>
        <v/>
      </c>
    </row>
    <row r="307">
      <c r="B307" s="8"/>
      <c r="G307" s="7" t="str">
        <f>IFERROR(__xludf.DUMMYFUNCTION("""COMPUTED_VALUE"""),"")</f>
        <v/>
      </c>
      <c r="K307" s="7" t="str">
        <f>IFERROR(__xludf.DUMMYFUNCTION("""COMPUTED_VALUE"""),"")</f>
        <v/>
      </c>
      <c r="M307" s="7" t="s">
        <v>110</v>
      </c>
      <c r="O307" s="7" t="str">
        <f>IFERROR(__xludf.DUMMYFUNCTION("""COMPUTED_VALUE"""),"")</f>
        <v/>
      </c>
      <c r="Q307" s="7" t="s">
        <v>110</v>
      </c>
      <c r="R307" s="7" t="str">
        <f>IFERROR(__xludf.DUMMYFUNCTION("""COMPUTED_VALUE"""),"")</f>
        <v/>
      </c>
    </row>
    <row r="308">
      <c r="B308" s="8"/>
      <c r="G308" s="7" t="str">
        <f>IFERROR(__xludf.DUMMYFUNCTION("""COMPUTED_VALUE"""),"")</f>
        <v/>
      </c>
      <c r="K308" s="7" t="str">
        <f>IFERROR(__xludf.DUMMYFUNCTION("""COMPUTED_VALUE"""),"")</f>
        <v/>
      </c>
      <c r="M308" s="7" t="s">
        <v>110</v>
      </c>
      <c r="O308" s="7" t="str">
        <f>IFERROR(__xludf.DUMMYFUNCTION("""COMPUTED_VALUE"""),"")</f>
        <v/>
      </c>
      <c r="Q308" s="7" t="s">
        <v>110</v>
      </c>
      <c r="R308" s="7" t="str">
        <f>IFERROR(__xludf.DUMMYFUNCTION("""COMPUTED_VALUE"""),"")</f>
        <v/>
      </c>
    </row>
    <row r="309">
      <c r="B309" s="8"/>
      <c r="G309" s="7" t="str">
        <f>IFERROR(__xludf.DUMMYFUNCTION("""COMPUTED_VALUE"""),"")</f>
        <v/>
      </c>
      <c r="K309" s="7" t="str">
        <f>IFERROR(__xludf.DUMMYFUNCTION("""COMPUTED_VALUE"""),"")</f>
        <v/>
      </c>
      <c r="M309" s="7" t="s">
        <v>110</v>
      </c>
      <c r="O309" s="7" t="str">
        <f>IFERROR(__xludf.DUMMYFUNCTION("""COMPUTED_VALUE"""),"")</f>
        <v/>
      </c>
      <c r="Q309" s="7" t="s">
        <v>110</v>
      </c>
      <c r="R309" s="7" t="str">
        <f>IFERROR(__xludf.DUMMYFUNCTION("""COMPUTED_VALUE"""),"")</f>
        <v/>
      </c>
    </row>
    <row r="310">
      <c r="B310" s="8"/>
      <c r="G310" s="7" t="str">
        <f>IFERROR(__xludf.DUMMYFUNCTION("""COMPUTED_VALUE"""),"")</f>
        <v/>
      </c>
      <c r="K310" s="7" t="str">
        <f>IFERROR(__xludf.DUMMYFUNCTION("""COMPUTED_VALUE"""),"")</f>
        <v/>
      </c>
      <c r="M310" s="7" t="s">
        <v>110</v>
      </c>
      <c r="O310" s="7" t="str">
        <f>IFERROR(__xludf.DUMMYFUNCTION("""COMPUTED_VALUE"""),"")</f>
        <v/>
      </c>
      <c r="Q310" s="7" t="s">
        <v>110</v>
      </c>
      <c r="R310" s="7" t="str">
        <f>IFERROR(__xludf.DUMMYFUNCTION("""COMPUTED_VALUE"""),"")</f>
        <v/>
      </c>
    </row>
    <row r="311">
      <c r="B311" s="8"/>
      <c r="G311" s="7" t="str">
        <f>IFERROR(__xludf.DUMMYFUNCTION("""COMPUTED_VALUE"""),"")</f>
        <v/>
      </c>
      <c r="K311" s="7" t="str">
        <f>IFERROR(__xludf.DUMMYFUNCTION("""COMPUTED_VALUE"""),"")</f>
        <v/>
      </c>
      <c r="M311" s="7" t="s">
        <v>110</v>
      </c>
      <c r="O311" s="7" t="str">
        <f>IFERROR(__xludf.DUMMYFUNCTION("""COMPUTED_VALUE"""),"")</f>
        <v/>
      </c>
      <c r="Q311" s="7" t="s">
        <v>110</v>
      </c>
      <c r="R311" s="7" t="str">
        <f>IFERROR(__xludf.DUMMYFUNCTION("""COMPUTED_VALUE"""),"")</f>
        <v/>
      </c>
    </row>
    <row r="312">
      <c r="B312" s="8"/>
      <c r="G312" s="7" t="str">
        <f>IFERROR(__xludf.DUMMYFUNCTION("""COMPUTED_VALUE"""),"")</f>
        <v/>
      </c>
      <c r="K312" s="7" t="str">
        <f>IFERROR(__xludf.DUMMYFUNCTION("""COMPUTED_VALUE"""),"")</f>
        <v/>
      </c>
      <c r="M312" s="7" t="s">
        <v>110</v>
      </c>
      <c r="O312" s="7" t="str">
        <f>IFERROR(__xludf.DUMMYFUNCTION("""COMPUTED_VALUE"""),"")</f>
        <v/>
      </c>
      <c r="Q312" s="7" t="s">
        <v>110</v>
      </c>
      <c r="R312" s="7" t="str">
        <f>IFERROR(__xludf.DUMMYFUNCTION("""COMPUTED_VALUE"""),"")</f>
        <v/>
      </c>
    </row>
    <row r="313">
      <c r="B313" s="8"/>
      <c r="G313" s="7" t="str">
        <f>IFERROR(__xludf.DUMMYFUNCTION("""COMPUTED_VALUE"""),"")</f>
        <v/>
      </c>
      <c r="K313" s="7" t="str">
        <f>IFERROR(__xludf.DUMMYFUNCTION("""COMPUTED_VALUE"""),"")</f>
        <v/>
      </c>
      <c r="M313" s="7" t="s">
        <v>110</v>
      </c>
      <c r="O313" s="7" t="str">
        <f>IFERROR(__xludf.DUMMYFUNCTION("""COMPUTED_VALUE"""),"")</f>
        <v/>
      </c>
      <c r="Q313" s="7" t="s">
        <v>110</v>
      </c>
      <c r="R313" s="7" t="str">
        <f>IFERROR(__xludf.DUMMYFUNCTION("""COMPUTED_VALUE"""),"")</f>
        <v/>
      </c>
    </row>
    <row r="314">
      <c r="B314" s="8"/>
      <c r="G314" s="7" t="str">
        <f>IFERROR(__xludf.DUMMYFUNCTION("""COMPUTED_VALUE"""),"")</f>
        <v/>
      </c>
      <c r="K314" s="7" t="str">
        <f>IFERROR(__xludf.DUMMYFUNCTION("""COMPUTED_VALUE"""),"")</f>
        <v/>
      </c>
      <c r="M314" s="7" t="s">
        <v>110</v>
      </c>
      <c r="O314" s="7" t="str">
        <f>IFERROR(__xludf.DUMMYFUNCTION("""COMPUTED_VALUE"""),"")</f>
        <v/>
      </c>
      <c r="Q314" s="7" t="s">
        <v>110</v>
      </c>
      <c r="R314" s="7" t="str">
        <f>IFERROR(__xludf.DUMMYFUNCTION("""COMPUTED_VALUE"""),"")</f>
        <v/>
      </c>
    </row>
    <row r="315">
      <c r="B315" s="8"/>
      <c r="G315" s="7" t="str">
        <f>IFERROR(__xludf.DUMMYFUNCTION("""COMPUTED_VALUE"""),"")</f>
        <v/>
      </c>
      <c r="K315" s="7" t="str">
        <f>IFERROR(__xludf.DUMMYFUNCTION("""COMPUTED_VALUE"""),"")</f>
        <v/>
      </c>
      <c r="M315" s="7" t="s">
        <v>110</v>
      </c>
      <c r="O315" s="7" t="str">
        <f>IFERROR(__xludf.DUMMYFUNCTION("""COMPUTED_VALUE"""),"")</f>
        <v/>
      </c>
      <c r="Q315" s="7" t="s">
        <v>110</v>
      </c>
      <c r="R315" s="7" t="str">
        <f>IFERROR(__xludf.DUMMYFUNCTION("""COMPUTED_VALUE"""),"")</f>
        <v/>
      </c>
    </row>
    <row r="316">
      <c r="B316" s="8"/>
      <c r="G316" s="7" t="str">
        <f>IFERROR(__xludf.DUMMYFUNCTION("""COMPUTED_VALUE"""),"")</f>
        <v/>
      </c>
      <c r="K316" s="7" t="str">
        <f>IFERROR(__xludf.DUMMYFUNCTION("""COMPUTED_VALUE"""),"")</f>
        <v/>
      </c>
      <c r="M316" s="7" t="s">
        <v>110</v>
      </c>
      <c r="O316" s="7" t="str">
        <f>IFERROR(__xludf.DUMMYFUNCTION("""COMPUTED_VALUE"""),"")</f>
        <v/>
      </c>
      <c r="Q316" s="7" t="s">
        <v>110</v>
      </c>
      <c r="R316" s="7" t="str">
        <f>IFERROR(__xludf.DUMMYFUNCTION("""COMPUTED_VALUE"""),"")</f>
        <v/>
      </c>
    </row>
    <row r="317">
      <c r="B317" s="8"/>
      <c r="G317" s="7" t="str">
        <f>IFERROR(__xludf.DUMMYFUNCTION("""COMPUTED_VALUE"""),"")</f>
        <v/>
      </c>
      <c r="K317" s="7" t="str">
        <f>IFERROR(__xludf.DUMMYFUNCTION("""COMPUTED_VALUE"""),"")</f>
        <v/>
      </c>
      <c r="M317" s="7" t="s">
        <v>110</v>
      </c>
      <c r="O317" s="7" t="str">
        <f>IFERROR(__xludf.DUMMYFUNCTION("""COMPUTED_VALUE"""),"")</f>
        <v/>
      </c>
      <c r="Q317" s="7" t="s">
        <v>110</v>
      </c>
      <c r="R317" s="7" t="str">
        <f>IFERROR(__xludf.DUMMYFUNCTION("""COMPUTED_VALUE"""),"")</f>
        <v/>
      </c>
    </row>
    <row r="318">
      <c r="B318" s="8"/>
      <c r="G318" s="7" t="str">
        <f>IFERROR(__xludf.DUMMYFUNCTION("""COMPUTED_VALUE"""),"")</f>
        <v/>
      </c>
      <c r="K318" s="7" t="str">
        <f>IFERROR(__xludf.DUMMYFUNCTION("""COMPUTED_VALUE"""),"")</f>
        <v/>
      </c>
      <c r="M318" s="7" t="s">
        <v>110</v>
      </c>
      <c r="O318" s="7" t="str">
        <f>IFERROR(__xludf.DUMMYFUNCTION("""COMPUTED_VALUE"""),"")</f>
        <v/>
      </c>
      <c r="Q318" s="7" t="s">
        <v>110</v>
      </c>
      <c r="R318" s="7" t="str">
        <f>IFERROR(__xludf.DUMMYFUNCTION("""COMPUTED_VALUE"""),"")</f>
        <v/>
      </c>
    </row>
    <row r="319">
      <c r="B319" s="8"/>
      <c r="G319" s="7" t="str">
        <f>IFERROR(__xludf.DUMMYFUNCTION("""COMPUTED_VALUE"""),"")</f>
        <v/>
      </c>
      <c r="K319" s="7" t="str">
        <f>IFERROR(__xludf.DUMMYFUNCTION("""COMPUTED_VALUE"""),"")</f>
        <v/>
      </c>
      <c r="M319" s="7" t="s">
        <v>110</v>
      </c>
      <c r="O319" s="7" t="str">
        <f>IFERROR(__xludf.DUMMYFUNCTION("""COMPUTED_VALUE"""),"")</f>
        <v/>
      </c>
      <c r="Q319" s="7" t="s">
        <v>110</v>
      </c>
      <c r="R319" s="7" t="str">
        <f>IFERROR(__xludf.DUMMYFUNCTION("""COMPUTED_VALUE"""),"")</f>
        <v/>
      </c>
    </row>
    <row r="320">
      <c r="B320" s="8"/>
      <c r="G320" s="7" t="str">
        <f>IFERROR(__xludf.DUMMYFUNCTION("""COMPUTED_VALUE"""),"")</f>
        <v/>
      </c>
      <c r="K320" s="7" t="str">
        <f>IFERROR(__xludf.DUMMYFUNCTION("""COMPUTED_VALUE"""),"")</f>
        <v/>
      </c>
      <c r="M320" s="7" t="s">
        <v>110</v>
      </c>
      <c r="O320" s="7" t="str">
        <f>IFERROR(__xludf.DUMMYFUNCTION("""COMPUTED_VALUE"""),"")</f>
        <v/>
      </c>
      <c r="Q320" s="7" t="s">
        <v>110</v>
      </c>
      <c r="R320" s="7" t="str">
        <f>IFERROR(__xludf.DUMMYFUNCTION("""COMPUTED_VALUE"""),"")</f>
        <v/>
      </c>
    </row>
    <row r="321">
      <c r="B321" s="8"/>
      <c r="G321" s="7" t="str">
        <f>IFERROR(__xludf.DUMMYFUNCTION("""COMPUTED_VALUE"""),"")</f>
        <v/>
      </c>
      <c r="K321" s="7" t="str">
        <f>IFERROR(__xludf.DUMMYFUNCTION("""COMPUTED_VALUE"""),"")</f>
        <v/>
      </c>
      <c r="M321" s="7" t="s">
        <v>110</v>
      </c>
      <c r="O321" s="7" t="str">
        <f>IFERROR(__xludf.DUMMYFUNCTION("""COMPUTED_VALUE"""),"")</f>
        <v/>
      </c>
      <c r="Q321" s="7" t="s">
        <v>110</v>
      </c>
      <c r="R321" s="7" t="str">
        <f>IFERROR(__xludf.DUMMYFUNCTION("""COMPUTED_VALUE"""),"")</f>
        <v/>
      </c>
    </row>
    <row r="322">
      <c r="B322" s="8"/>
      <c r="G322" s="7" t="str">
        <f>IFERROR(__xludf.DUMMYFUNCTION("""COMPUTED_VALUE"""),"")</f>
        <v/>
      </c>
      <c r="K322" s="7" t="str">
        <f>IFERROR(__xludf.DUMMYFUNCTION("""COMPUTED_VALUE"""),"")</f>
        <v/>
      </c>
      <c r="M322" s="7" t="s">
        <v>110</v>
      </c>
      <c r="O322" s="7" t="str">
        <f>IFERROR(__xludf.DUMMYFUNCTION("""COMPUTED_VALUE"""),"")</f>
        <v/>
      </c>
      <c r="Q322" s="7" t="s">
        <v>110</v>
      </c>
      <c r="R322" s="7" t="str">
        <f>IFERROR(__xludf.DUMMYFUNCTION("""COMPUTED_VALUE"""),"")</f>
        <v/>
      </c>
    </row>
    <row r="323">
      <c r="B323" s="8"/>
      <c r="G323" s="7" t="str">
        <f>IFERROR(__xludf.DUMMYFUNCTION("""COMPUTED_VALUE"""),"")</f>
        <v/>
      </c>
      <c r="K323" s="7" t="str">
        <f>IFERROR(__xludf.DUMMYFUNCTION("""COMPUTED_VALUE"""),"")</f>
        <v/>
      </c>
      <c r="M323" s="7" t="s">
        <v>110</v>
      </c>
      <c r="O323" s="7" t="str">
        <f>IFERROR(__xludf.DUMMYFUNCTION("""COMPUTED_VALUE"""),"")</f>
        <v/>
      </c>
      <c r="Q323" s="7" t="s">
        <v>110</v>
      </c>
      <c r="R323" s="7" t="str">
        <f>IFERROR(__xludf.DUMMYFUNCTION("""COMPUTED_VALUE"""),"")</f>
        <v/>
      </c>
    </row>
    <row r="324">
      <c r="B324" s="8"/>
      <c r="G324" s="7" t="str">
        <f>IFERROR(__xludf.DUMMYFUNCTION("""COMPUTED_VALUE"""),"")</f>
        <v/>
      </c>
      <c r="K324" s="7" t="str">
        <f>IFERROR(__xludf.DUMMYFUNCTION("""COMPUTED_VALUE"""),"")</f>
        <v/>
      </c>
      <c r="M324" s="7" t="s">
        <v>110</v>
      </c>
      <c r="O324" s="7" t="str">
        <f>IFERROR(__xludf.DUMMYFUNCTION("""COMPUTED_VALUE"""),"")</f>
        <v/>
      </c>
      <c r="Q324" s="7" t="s">
        <v>110</v>
      </c>
      <c r="R324" s="7" t="str">
        <f>IFERROR(__xludf.DUMMYFUNCTION("""COMPUTED_VALUE"""),"")</f>
        <v/>
      </c>
    </row>
    <row r="325">
      <c r="B325" s="8"/>
      <c r="G325" s="7" t="str">
        <f>IFERROR(__xludf.DUMMYFUNCTION("""COMPUTED_VALUE"""),"")</f>
        <v/>
      </c>
      <c r="K325" s="7" t="str">
        <f>IFERROR(__xludf.DUMMYFUNCTION("""COMPUTED_VALUE"""),"")</f>
        <v/>
      </c>
      <c r="M325" s="7" t="s">
        <v>110</v>
      </c>
      <c r="O325" s="7" t="str">
        <f>IFERROR(__xludf.DUMMYFUNCTION("""COMPUTED_VALUE"""),"")</f>
        <v/>
      </c>
      <c r="Q325" s="7" t="s">
        <v>110</v>
      </c>
      <c r="R325" s="7" t="str">
        <f>IFERROR(__xludf.DUMMYFUNCTION("""COMPUTED_VALUE"""),"")</f>
        <v/>
      </c>
    </row>
    <row r="326">
      <c r="B326" s="8"/>
      <c r="G326" s="7" t="str">
        <f>IFERROR(__xludf.DUMMYFUNCTION("""COMPUTED_VALUE"""),"")</f>
        <v/>
      </c>
      <c r="K326" s="7" t="str">
        <f>IFERROR(__xludf.DUMMYFUNCTION("""COMPUTED_VALUE"""),"")</f>
        <v/>
      </c>
      <c r="M326" s="7" t="s">
        <v>110</v>
      </c>
      <c r="O326" s="7" t="str">
        <f>IFERROR(__xludf.DUMMYFUNCTION("""COMPUTED_VALUE"""),"")</f>
        <v/>
      </c>
      <c r="Q326" s="7" t="s">
        <v>110</v>
      </c>
      <c r="R326" s="7" t="str">
        <f>IFERROR(__xludf.DUMMYFUNCTION("""COMPUTED_VALUE"""),"")</f>
        <v/>
      </c>
    </row>
    <row r="327">
      <c r="B327" s="8"/>
      <c r="G327" s="7" t="str">
        <f>IFERROR(__xludf.DUMMYFUNCTION("""COMPUTED_VALUE"""),"")</f>
        <v/>
      </c>
      <c r="K327" s="7" t="str">
        <f>IFERROR(__xludf.DUMMYFUNCTION("""COMPUTED_VALUE"""),"")</f>
        <v/>
      </c>
      <c r="M327" s="7" t="s">
        <v>110</v>
      </c>
      <c r="O327" s="7" t="str">
        <f>IFERROR(__xludf.DUMMYFUNCTION("""COMPUTED_VALUE"""),"")</f>
        <v/>
      </c>
      <c r="Q327" s="7" t="s">
        <v>110</v>
      </c>
      <c r="R327" s="7" t="str">
        <f>IFERROR(__xludf.DUMMYFUNCTION("""COMPUTED_VALUE"""),"")</f>
        <v/>
      </c>
    </row>
    <row r="328">
      <c r="B328" s="8"/>
      <c r="G328" s="7" t="str">
        <f>IFERROR(__xludf.DUMMYFUNCTION("""COMPUTED_VALUE"""),"")</f>
        <v/>
      </c>
      <c r="K328" s="7" t="str">
        <f>IFERROR(__xludf.DUMMYFUNCTION("""COMPUTED_VALUE"""),"")</f>
        <v/>
      </c>
      <c r="M328" s="7" t="s">
        <v>110</v>
      </c>
      <c r="O328" s="7" t="str">
        <f>IFERROR(__xludf.DUMMYFUNCTION("""COMPUTED_VALUE"""),"")</f>
        <v/>
      </c>
      <c r="Q328" s="7" t="s">
        <v>110</v>
      </c>
      <c r="R328" s="7" t="str">
        <f>IFERROR(__xludf.DUMMYFUNCTION("""COMPUTED_VALUE"""),"")</f>
        <v/>
      </c>
    </row>
    <row r="329">
      <c r="B329" s="8"/>
      <c r="G329" s="7" t="str">
        <f>IFERROR(__xludf.DUMMYFUNCTION("""COMPUTED_VALUE"""),"")</f>
        <v/>
      </c>
      <c r="K329" s="7" t="str">
        <f>IFERROR(__xludf.DUMMYFUNCTION("""COMPUTED_VALUE"""),"")</f>
        <v/>
      </c>
      <c r="M329" s="7" t="s">
        <v>110</v>
      </c>
      <c r="O329" s="7" t="str">
        <f>IFERROR(__xludf.DUMMYFUNCTION("""COMPUTED_VALUE"""),"")</f>
        <v/>
      </c>
      <c r="Q329" s="7" t="s">
        <v>110</v>
      </c>
      <c r="R329" s="7" t="str">
        <f>IFERROR(__xludf.DUMMYFUNCTION("""COMPUTED_VALUE"""),"")</f>
        <v/>
      </c>
    </row>
    <row r="330">
      <c r="B330" s="8"/>
      <c r="G330" s="7" t="str">
        <f>IFERROR(__xludf.DUMMYFUNCTION("""COMPUTED_VALUE"""),"")</f>
        <v/>
      </c>
      <c r="K330" s="7" t="str">
        <f>IFERROR(__xludf.DUMMYFUNCTION("""COMPUTED_VALUE"""),"")</f>
        <v/>
      </c>
      <c r="M330" s="7" t="s">
        <v>110</v>
      </c>
      <c r="O330" s="7" t="str">
        <f>IFERROR(__xludf.DUMMYFUNCTION("""COMPUTED_VALUE"""),"")</f>
        <v/>
      </c>
      <c r="Q330" s="7" t="s">
        <v>110</v>
      </c>
      <c r="R330" s="7" t="str">
        <f>IFERROR(__xludf.DUMMYFUNCTION("""COMPUTED_VALUE"""),"")</f>
        <v/>
      </c>
    </row>
    <row r="331">
      <c r="B331" s="8"/>
      <c r="G331" s="7" t="str">
        <f>IFERROR(__xludf.DUMMYFUNCTION("""COMPUTED_VALUE"""),"")</f>
        <v/>
      </c>
      <c r="K331" s="7" t="str">
        <f>IFERROR(__xludf.DUMMYFUNCTION("""COMPUTED_VALUE"""),"")</f>
        <v/>
      </c>
      <c r="M331" s="7" t="s">
        <v>110</v>
      </c>
      <c r="O331" s="7" t="str">
        <f>IFERROR(__xludf.DUMMYFUNCTION("""COMPUTED_VALUE"""),"")</f>
        <v/>
      </c>
      <c r="Q331" s="7" t="s">
        <v>110</v>
      </c>
      <c r="R331" s="7" t="str">
        <f>IFERROR(__xludf.DUMMYFUNCTION("""COMPUTED_VALUE"""),"")</f>
        <v/>
      </c>
    </row>
    <row r="332">
      <c r="B332" s="8"/>
      <c r="G332" s="7" t="str">
        <f>IFERROR(__xludf.DUMMYFUNCTION("""COMPUTED_VALUE"""),"")</f>
        <v/>
      </c>
      <c r="K332" s="7" t="str">
        <f>IFERROR(__xludf.DUMMYFUNCTION("""COMPUTED_VALUE"""),"")</f>
        <v/>
      </c>
      <c r="M332" s="7" t="s">
        <v>110</v>
      </c>
      <c r="O332" s="7" t="str">
        <f>IFERROR(__xludf.DUMMYFUNCTION("""COMPUTED_VALUE"""),"")</f>
        <v/>
      </c>
      <c r="Q332" s="7" t="s">
        <v>110</v>
      </c>
      <c r="R332" s="7" t="str">
        <f>IFERROR(__xludf.DUMMYFUNCTION("""COMPUTED_VALUE"""),"")</f>
        <v/>
      </c>
    </row>
    <row r="333">
      <c r="B333" s="8"/>
      <c r="G333" s="7" t="str">
        <f>IFERROR(__xludf.DUMMYFUNCTION("""COMPUTED_VALUE"""),"")</f>
        <v/>
      </c>
      <c r="K333" s="7" t="str">
        <f>IFERROR(__xludf.DUMMYFUNCTION("""COMPUTED_VALUE"""),"")</f>
        <v/>
      </c>
      <c r="M333" s="7" t="s">
        <v>110</v>
      </c>
      <c r="O333" s="7" t="str">
        <f>IFERROR(__xludf.DUMMYFUNCTION("""COMPUTED_VALUE"""),"")</f>
        <v/>
      </c>
      <c r="Q333" s="7" t="s">
        <v>110</v>
      </c>
      <c r="R333" s="7" t="str">
        <f>IFERROR(__xludf.DUMMYFUNCTION("""COMPUTED_VALUE"""),"")</f>
        <v/>
      </c>
    </row>
    <row r="334">
      <c r="B334" s="8"/>
      <c r="G334" s="7" t="str">
        <f>IFERROR(__xludf.DUMMYFUNCTION("""COMPUTED_VALUE"""),"")</f>
        <v/>
      </c>
      <c r="K334" s="7" t="str">
        <f>IFERROR(__xludf.DUMMYFUNCTION("""COMPUTED_VALUE"""),"")</f>
        <v/>
      </c>
      <c r="M334" s="7" t="s">
        <v>110</v>
      </c>
      <c r="O334" s="7" t="str">
        <f>IFERROR(__xludf.DUMMYFUNCTION("""COMPUTED_VALUE"""),"")</f>
        <v/>
      </c>
      <c r="Q334" s="7" t="s">
        <v>110</v>
      </c>
      <c r="R334" s="7" t="str">
        <f>IFERROR(__xludf.DUMMYFUNCTION("""COMPUTED_VALUE"""),"")</f>
        <v/>
      </c>
    </row>
    <row r="335">
      <c r="B335" s="8"/>
      <c r="G335" s="7" t="str">
        <f>IFERROR(__xludf.DUMMYFUNCTION("""COMPUTED_VALUE"""),"")</f>
        <v/>
      </c>
      <c r="K335" s="7" t="str">
        <f>IFERROR(__xludf.DUMMYFUNCTION("""COMPUTED_VALUE"""),"")</f>
        <v/>
      </c>
      <c r="M335" s="7" t="s">
        <v>110</v>
      </c>
      <c r="O335" s="7" t="str">
        <f>IFERROR(__xludf.DUMMYFUNCTION("""COMPUTED_VALUE"""),"")</f>
        <v/>
      </c>
      <c r="Q335" s="7" t="s">
        <v>110</v>
      </c>
      <c r="R335" s="7" t="str">
        <f>IFERROR(__xludf.DUMMYFUNCTION("""COMPUTED_VALUE"""),"")</f>
        <v/>
      </c>
    </row>
    <row r="336">
      <c r="B336" s="8"/>
      <c r="G336" s="7" t="str">
        <f>IFERROR(__xludf.DUMMYFUNCTION("""COMPUTED_VALUE"""),"")</f>
        <v/>
      </c>
      <c r="K336" s="7" t="str">
        <f>IFERROR(__xludf.DUMMYFUNCTION("""COMPUTED_VALUE"""),"")</f>
        <v/>
      </c>
      <c r="M336" s="7" t="s">
        <v>110</v>
      </c>
      <c r="O336" s="7" t="str">
        <f>IFERROR(__xludf.DUMMYFUNCTION("""COMPUTED_VALUE"""),"")</f>
        <v/>
      </c>
      <c r="Q336" s="7" t="s">
        <v>110</v>
      </c>
      <c r="R336" s="7" t="str">
        <f>IFERROR(__xludf.DUMMYFUNCTION("""COMPUTED_VALUE"""),"")</f>
        <v/>
      </c>
    </row>
    <row r="337">
      <c r="B337" s="8"/>
      <c r="G337" s="7" t="str">
        <f>IFERROR(__xludf.DUMMYFUNCTION("""COMPUTED_VALUE"""),"")</f>
        <v/>
      </c>
      <c r="K337" s="7" t="str">
        <f>IFERROR(__xludf.DUMMYFUNCTION("""COMPUTED_VALUE"""),"")</f>
        <v/>
      </c>
      <c r="M337" s="7" t="s">
        <v>110</v>
      </c>
      <c r="O337" s="7" t="str">
        <f>IFERROR(__xludf.DUMMYFUNCTION("""COMPUTED_VALUE"""),"")</f>
        <v/>
      </c>
      <c r="Q337" s="7" t="s">
        <v>110</v>
      </c>
      <c r="R337" s="7" t="str">
        <f>IFERROR(__xludf.DUMMYFUNCTION("""COMPUTED_VALUE"""),"")</f>
        <v/>
      </c>
    </row>
    <row r="338">
      <c r="B338" s="8"/>
      <c r="G338" s="7" t="str">
        <f>IFERROR(__xludf.DUMMYFUNCTION("""COMPUTED_VALUE"""),"")</f>
        <v/>
      </c>
      <c r="K338" s="7" t="str">
        <f>IFERROR(__xludf.DUMMYFUNCTION("""COMPUTED_VALUE"""),"")</f>
        <v/>
      </c>
      <c r="M338" s="7" t="s">
        <v>110</v>
      </c>
      <c r="O338" s="7" t="str">
        <f>IFERROR(__xludf.DUMMYFUNCTION("""COMPUTED_VALUE"""),"")</f>
        <v/>
      </c>
      <c r="Q338" s="7" t="s">
        <v>110</v>
      </c>
      <c r="R338" s="7" t="str">
        <f>IFERROR(__xludf.DUMMYFUNCTION("""COMPUTED_VALUE"""),"")</f>
        <v/>
      </c>
    </row>
    <row r="339">
      <c r="B339" s="8"/>
      <c r="G339" s="7" t="str">
        <f>IFERROR(__xludf.DUMMYFUNCTION("""COMPUTED_VALUE"""),"")</f>
        <v/>
      </c>
      <c r="K339" s="7" t="str">
        <f>IFERROR(__xludf.DUMMYFUNCTION("""COMPUTED_VALUE"""),"")</f>
        <v/>
      </c>
      <c r="M339" s="7" t="s">
        <v>110</v>
      </c>
      <c r="O339" s="7" t="str">
        <f>IFERROR(__xludf.DUMMYFUNCTION("""COMPUTED_VALUE"""),"")</f>
        <v/>
      </c>
      <c r="Q339" s="7" t="s">
        <v>110</v>
      </c>
      <c r="R339" s="7" t="str">
        <f>IFERROR(__xludf.DUMMYFUNCTION("""COMPUTED_VALUE"""),"")</f>
        <v/>
      </c>
    </row>
    <row r="340">
      <c r="B340" s="8"/>
      <c r="G340" s="7" t="str">
        <f>IFERROR(__xludf.DUMMYFUNCTION("""COMPUTED_VALUE"""),"")</f>
        <v/>
      </c>
      <c r="K340" s="7" t="str">
        <f>IFERROR(__xludf.DUMMYFUNCTION("""COMPUTED_VALUE"""),"")</f>
        <v/>
      </c>
      <c r="M340" s="7" t="s">
        <v>110</v>
      </c>
      <c r="O340" s="7" t="str">
        <f>IFERROR(__xludf.DUMMYFUNCTION("""COMPUTED_VALUE"""),"")</f>
        <v/>
      </c>
      <c r="Q340" s="7" t="s">
        <v>110</v>
      </c>
      <c r="R340" s="7" t="str">
        <f>IFERROR(__xludf.DUMMYFUNCTION("""COMPUTED_VALUE"""),"")</f>
        <v/>
      </c>
    </row>
    <row r="341">
      <c r="B341" s="8"/>
      <c r="G341" s="7" t="str">
        <f>IFERROR(__xludf.DUMMYFUNCTION("""COMPUTED_VALUE"""),"")</f>
        <v/>
      </c>
      <c r="K341" s="7" t="str">
        <f>IFERROR(__xludf.DUMMYFUNCTION("""COMPUTED_VALUE"""),"")</f>
        <v/>
      </c>
      <c r="M341" s="7" t="s">
        <v>110</v>
      </c>
      <c r="O341" s="7" t="str">
        <f>IFERROR(__xludf.DUMMYFUNCTION("""COMPUTED_VALUE"""),"")</f>
        <v/>
      </c>
      <c r="Q341" s="7" t="s">
        <v>110</v>
      </c>
      <c r="R341" s="7" t="str">
        <f>IFERROR(__xludf.DUMMYFUNCTION("""COMPUTED_VALUE"""),"")</f>
        <v/>
      </c>
    </row>
    <row r="342">
      <c r="B342" s="8"/>
      <c r="G342" s="7" t="str">
        <f>IFERROR(__xludf.DUMMYFUNCTION("""COMPUTED_VALUE"""),"")</f>
        <v/>
      </c>
      <c r="K342" s="7" t="str">
        <f>IFERROR(__xludf.DUMMYFUNCTION("""COMPUTED_VALUE"""),"")</f>
        <v/>
      </c>
      <c r="M342" s="7" t="s">
        <v>110</v>
      </c>
      <c r="O342" s="7" t="str">
        <f>IFERROR(__xludf.DUMMYFUNCTION("""COMPUTED_VALUE"""),"")</f>
        <v/>
      </c>
      <c r="Q342" s="7" t="s">
        <v>110</v>
      </c>
      <c r="R342" s="7" t="str">
        <f>IFERROR(__xludf.DUMMYFUNCTION("""COMPUTED_VALUE"""),"")</f>
        <v/>
      </c>
    </row>
    <row r="343">
      <c r="B343" s="8"/>
      <c r="G343" s="7" t="str">
        <f>IFERROR(__xludf.DUMMYFUNCTION("""COMPUTED_VALUE"""),"")</f>
        <v/>
      </c>
      <c r="K343" s="7" t="str">
        <f>IFERROR(__xludf.DUMMYFUNCTION("""COMPUTED_VALUE"""),"")</f>
        <v/>
      </c>
      <c r="M343" s="7" t="s">
        <v>110</v>
      </c>
      <c r="O343" s="7" t="str">
        <f>IFERROR(__xludf.DUMMYFUNCTION("""COMPUTED_VALUE"""),"")</f>
        <v/>
      </c>
      <c r="Q343" s="7" t="s">
        <v>110</v>
      </c>
      <c r="R343" s="7" t="str">
        <f>IFERROR(__xludf.DUMMYFUNCTION("""COMPUTED_VALUE"""),"")</f>
        <v/>
      </c>
    </row>
    <row r="344">
      <c r="B344" s="8"/>
      <c r="G344" s="7" t="str">
        <f>IFERROR(__xludf.DUMMYFUNCTION("""COMPUTED_VALUE"""),"")</f>
        <v/>
      </c>
      <c r="K344" s="7" t="str">
        <f>IFERROR(__xludf.DUMMYFUNCTION("""COMPUTED_VALUE"""),"")</f>
        <v/>
      </c>
      <c r="M344" s="7" t="s">
        <v>110</v>
      </c>
      <c r="O344" s="7" t="str">
        <f>IFERROR(__xludf.DUMMYFUNCTION("""COMPUTED_VALUE"""),"")</f>
        <v/>
      </c>
      <c r="Q344" s="7" t="s">
        <v>110</v>
      </c>
      <c r="R344" s="7" t="str">
        <f>IFERROR(__xludf.DUMMYFUNCTION("""COMPUTED_VALUE"""),"")</f>
        <v/>
      </c>
    </row>
    <row r="345">
      <c r="B345" s="8"/>
      <c r="G345" s="7" t="str">
        <f>IFERROR(__xludf.DUMMYFUNCTION("""COMPUTED_VALUE"""),"")</f>
        <v/>
      </c>
      <c r="K345" s="7" t="str">
        <f>IFERROR(__xludf.DUMMYFUNCTION("""COMPUTED_VALUE"""),"")</f>
        <v/>
      </c>
      <c r="M345" s="7" t="s">
        <v>110</v>
      </c>
      <c r="O345" s="7" t="str">
        <f>IFERROR(__xludf.DUMMYFUNCTION("""COMPUTED_VALUE"""),"")</f>
        <v/>
      </c>
      <c r="Q345" s="7" t="s">
        <v>110</v>
      </c>
      <c r="R345" s="7" t="str">
        <f>IFERROR(__xludf.DUMMYFUNCTION("""COMPUTED_VALUE"""),"")</f>
        <v/>
      </c>
    </row>
    <row r="346">
      <c r="B346" s="8"/>
      <c r="G346" s="7" t="str">
        <f>IFERROR(__xludf.DUMMYFUNCTION("""COMPUTED_VALUE"""),"")</f>
        <v/>
      </c>
      <c r="K346" s="7" t="str">
        <f>IFERROR(__xludf.DUMMYFUNCTION("""COMPUTED_VALUE"""),"")</f>
        <v/>
      </c>
      <c r="M346" s="7" t="s">
        <v>110</v>
      </c>
      <c r="O346" s="7" t="str">
        <f>IFERROR(__xludf.DUMMYFUNCTION("""COMPUTED_VALUE"""),"")</f>
        <v/>
      </c>
      <c r="Q346" s="7" t="s">
        <v>110</v>
      </c>
      <c r="R346" s="7" t="str">
        <f>IFERROR(__xludf.DUMMYFUNCTION("""COMPUTED_VALUE"""),"")</f>
        <v/>
      </c>
    </row>
    <row r="347">
      <c r="B347" s="8"/>
      <c r="G347" s="7" t="str">
        <f>IFERROR(__xludf.DUMMYFUNCTION("""COMPUTED_VALUE"""),"")</f>
        <v/>
      </c>
      <c r="K347" s="7" t="str">
        <f>IFERROR(__xludf.DUMMYFUNCTION("""COMPUTED_VALUE"""),"")</f>
        <v/>
      </c>
      <c r="M347" s="7" t="s">
        <v>110</v>
      </c>
      <c r="O347" s="7" t="str">
        <f>IFERROR(__xludf.DUMMYFUNCTION("""COMPUTED_VALUE"""),"")</f>
        <v/>
      </c>
      <c r="Q347" s="7" t="s">
        <v>110</v>
      </c>
      <c r="R347" s="7" t="str">
        <f>IFERROR(__xludf.DUMMYFUNCTION("""COMPUTED_VALUE"""),"")</f>
        <v/>
      </c>
    </row>
    <row r="348">
      <c r="B348" s="8"/>
      <c r="G348" s="7" t="str">
        <f>IFERROR(__xludf.DUMMYFUNCTION("""COMPUTED_VALUE"""),"")</f>
        <v/>
      </c>
      <c r="K348" s="7" t="str">
        <f>IFERROR(__xludf.DUMMYFUNCTION("""COMPUTED_VALUE"""),"")</f>
        <v/>
      </c>
      <c r="M348" s="7" t="s">
        <v>110</v>
      </c>
      <c r="O348" s="7" t="str">
        <f>IFERROR(__xludf.DUMMYFUNCTION("""COMPUTED_VALUE"""),"")</f>
        <v/>
      </c>
      <c r="Q348" s="7" t="s">
        <v>110</v>
      </c>
      <c r="R348" s="7" t="str">
        <f>IFERROR(__xludf.DUMMYFUNCTION("""COMPUTED_VALUE"""),"")</f>
        <v/>
      </c>
    </row>
    <row r="349">
      <c r="B349" s="8"/>
      <c r="G349" s="7" t="str">
        <f>IFERROR(__xludf.DUMMYFUNCTION("""COMPUTED_VALUE"""),"")</f>
        <v/>
      </c>
      <c r="K349" s="7" t="str">
        <f>IFERROR(__xludf.DUMMYFUNCTION("""COMPUTED_VALUE"""),"")</f>
        <v/>
      </c>
      <c r="M349" s="7" t="s">
        <v>110</v>
      </c>
      <c r="O349" s="7" t="str">
        <f>IFERROR(__xludf.DUMMYFUNCTION("""COMPUTED_VALUE"""),"")</f>
        <v/>
      </c>
      <c r="Q349" s="7" t="s">
        <v>110</v>
      </c>
      <c r="R349" s="7" t="str">
        <f>IFERROR(__xludf.DUMMYFUNCTION("""COMPUTED_VALUE"""),"")</f>
        <v/>
      </c>
    </row>
    <row r="350">
      <c r="B350" s="8"/>
      <c r="G350" s="7" t="str">
        <f>IFERROR(__xludf.DUMMYFUNCTION("""COMPUTED_VALUE"""),"")</f>
        <v/>
      </c>
      <c r="K350" s="7" t="str">
        <f>IFERROR(__xludf.DUMMYFUNCTION("""COMPUTED_VALUE"""),"")</f>
        <v/>
      </c>
      <c r="M350" s="7" t="s">
        <v>110</v>
      </c>
      <c r="O350" s="7" t="str">
        <f>IFERROR(__xludf.DUMMYFUNCTION("""COMPUTED_VALUE"""),"")</f>
        <v/>
      </c>
      <c r="Q350" s="7" t="s">
        <v>110</v>
      </c>
      <c r="R350" s="7" t="str">
        <f>IFERROR(__xludf.DUMMYFUNCTION("""COMPUTED_VALUE"""),"")</f>
        <v/>
      </c>
    </row>
    <row r="351">
      <c r="B351" s="8"/>
      <c r="G351" s="7" t="str">
        <f>IFERROR(__xludf.DUMMYFUNCTION("""COMPUTED_VALUE"""),"")</f>
        <v/>
      </c>
      <c r="K351" s="7" t="str">
        <f>IFERROR(__xludf.DUMMYFUNCTION("""COMPUTED_VALUE"""),"")</f>
        <v/>
      </c>
      <c r="M351" s="7" t="s">
        <v>110</v>
      </c>
      <c r="O351" s="7" t="str">
        <f>IFERROR(__xludf.DUMMYFUNCTION("""COMPUTED_VALUE"""),"")</f>
        <v/>
      </c>
      <c r="Q351" s="7" t="s">
        <v>110</v>
      </c>
      <c r="R351" s="7" t="str">
        <f>IFERROR(__xludf.DUMMYFUNCTION("""COMPUTED_VALUE"""),"")</f>
        <v/>
      </c>
    </row>
    <row r="352">
      <c r="B352" s="8"/>
      <c r="G352" s="7" t="str">
        <f>IFERROR(__xludf.DUMMYFUNCTION("""COMPUTED_VALUE"""),"")</f>
        <v/>
      </c>
      <c r="K352" s="7" t="str">
        <f>IFERROR(__xludf.DUMMYFUNCTION("""COMPUTED_VALUE"""),"")</f>
        <v/>
      </c>
      <c r="M352" s="7" t="s">
        <v>110</v>
      </c>
      <c r="O352" s="7" t="str">
        <f>IFERROR(__xludf.DUMMYFUNCTION("""COMPUTED_VALUE"""),"")</f>
        <v/>
      </c>
      <c r="Q352" s="7" t="s">
        <v>110</v>
      </c>
      <c r="R352" s="7" t="str">
        <f>IFERROR(__xludf.DUMMYFUNCTION("""COMPUTED_VALUE"""),"")</f>
        <v/>
      </c>
    </row>
    <row r="353">
      <c r="B353" s="8"/>
      <c r="G353" s="7" t="str">
        <f>IFERROR(__xludf.DUMMYFUNCTION("""COMPUTED_VALUE"""),"")</f>
        <v/>
      </c>
      <c r="K353" s="7" t="str">
        <f>IFERROR(__xludf.DUMMYFUNCTION("""COMPUTED_VALUE"""),"")</f>
        <v/>
      </c>
      <c r="M353" s="7" t="s">
        <v>110</v>
      </c>
      <c r="O353" s="7" t="str">
        <f>IFERROR(__xludf.DUMMYFUNCTION("""COMPUTED_VALUE"""),"")</f>
        <v/>
      </c>
      <c r="Q353" s="7" t="s">
        <v>110</v>
      </c>
      <c r="R353" s="7" t="str">
        <f>IFERROR(__xludf.DUMMYFUNCTION("""COMPUTED_VALUE"""),"")</f>
        <v/>
      </c>
    </row>
    <row r="354">
      <c r="B354" s="8"/>
      <c r="G354" s="7" t="str">
        <f>IFERROR(__xludf.DUMMYFUNCTION("""COMPUTED_VALUE"""),"")</f>
        <v/>
      </c>
      <c r="K354" s="7" t="str">
        <f>IFERROR(__xludf.DUMMYFUNCTION("""COMPUTED_VALUE"""),"")</f>
        <v/>
      </c>
      <c r="M354" s="7" t="s">
        <v>110</v>
      </c>
      <c r="O354" s="7" t="str">
        <f>IFERROR(__xludf.DUMMYFUNCTION("""COMPUTED_VALUE"""),"")</f>
        <v/>
      </c>
      <c r="Q354" s="7" t="s">
        <v>110</v>
      </c>
      <c r="R354" s="7" t="str">
        <f>IFERROR(__xludf.DUMMYFUNCTION("""COMPUTED_VALUE"""),"")</f>
        <v/>
      </c>
    </row>
    <row r="355">
      <c r="B355" s="8"/>
      <c r="G355" s="7" t="str">
        <f>IFERROR(__xludf.DUMMYFUNCTION("""COMPUTED_VALUE"""),"")</f>
        <v/>
      </c>
      <c r="K355" s="7" t="str">
        <f>IFERROR(__xludf.DUMMYFUNCTION("""COMPUTED_VALUE"""),"")</f>
        <v/>
      </c>
      <c r="M355" s="7" t="s">
        <v>110</v>
      </c>
      <c r="O355" s="7" t="str">
        <f>IFERROR(__xludf.DUMMYFUNCTION("""COMPUTED_VALUE"""),"")</f>
        <v/>
      </c>
      <c r="Q355" s="7" t="s">
        <v>110</v>
      </c>
      <c r="R355" s="7" t="str">
        <f>IFERROR(__xludf.DUMMYFUNCTION("""COMPUTED_VALUE"""),"")</f>
        <v/>
      </c>
    </row>
    <row r="356">
      <c r="B356" s="8"/>
      <c r="G356" s="7" t="str">
        <f>IFERROR(__xludf.DUMMYFUNCTION("""COMPUTED_VALUE"""),"")</f>
        <v/>
      </c>
      <c r="K356" s="7" t="str">
        <f>IFERROR(__xludf.DUMMYFUNCTION("""COMPUTED_VALUE"""),"")</f>
        <v/>
      </c>
      <c r="M356" s="7" t="s">
        <v>110</v>
      </c>
      <c r="O356" s="7" t="str">
        <f>IFERROR(__xludf.DUMMYFUNCTION("""COMPUTED_VALUE"""),"")</f>
        <v/>
      </c>
      <c r="Q356" s="7" t="s">
        <v>110</v>
      </c>
      <c r="R356" s="7" t="str">
        <f>IFERROR(__xludf.DUMMYFUNCTION("""COMPUTED_VALUE"""),"")</f>
        <v/>
      </c>
    </row>
    <row r="357">
      <c r="B357" s="8"/>
      <c r="G357" s="7" t="str">
        <f>IFERROR(__xludf.DUMMYFUNCTION("""COMPUTED_VALUE"""),"")</f>
        <v/>
      </c>
      <c r="K357" s="7" t="str">
        <f>IFERROR(__xludf.DUMMYFUNCTION("""COMPUTED_VALUE"""),"")</f>
        <v/>
      </c>
      <c r="M357" s="7" t="s">
        <v>110</v>
      </c>
      <c r="O357" s="7" t="str">
        <f>IFERROR(__xludf.DUMMYFUNCTION("""COMPUTED_VALUE"""),"")</f>
        <v/>
      </c>
      <c r="Q357" s="7" t="s">
        <v>110</v>
      </c>
      <c r="R357" s="7" t="str">
        <f>IFERROR(__xludf.DUMMYFUNCTION("""COMPUTED_VALUE"""),"")</f>
        <v/>
      </c>
    </row>
    <row r="358">
      <c r="B358" s="8"/>
      <c r="G358" s="7" t="str">
        <f>IFERROR(__xludf.DUMMYFUNCTION("""COMPUTED_VALUE"""),"")</f>
        <v/>
      </c>
      <c r="K358" s="7" t="str">
        <f>IFERROR(__xludf.DUMMYFUNCTION("""COMPUTED_VALUE"""),"")</f>
        <v/>
      </c>
      <c r="M358" s="7" t="s">
        <v>110</v>
      </c>
      <c r="O358" s="7" t="str">
        <f>IFERROR(__xludf.DUMMYFUNCTION("""COMPUTED_VALUE"""),"")</f>
        <v/>
      </c>
      <c r="Q358" s="7" t="s">
        <v>110</v>
      </c>
      <c r="R358" s="7" t="str">
        <f>IFERROR(__xludf.DUMMYFUNCTION("""COMPUTED_VALUE"""),"")</f>
        <v/>
      </c>
    </row>
    <row r="359">
      <c r="B359" s="8"/>
      <c r="G359" s="7" t="str">
        <f>IFERROR(__xludf.DUMMYFUNCTION("""COMPUTED_VALUE"""),"")</f>
        <v/>
      </c>
      <c r="K359" s="7" t="str">
        <f>IFERROR(__xludf.DUMMYFUNCTION("""COMPUTED_VALUE"""),"")</f>
        <v/>
      </c>
      <c r="M359" s="7" t="s">
        <v>110</v>
      </c>
      <c r="O359" s="7" t="str">
        <f>IFERROR(__xludf.DUMMYFUNCTION("""COMPUTED_VALUE"""),"")</f>
        <v/>
      </c>
      <c r="Q359" s="7" t="s">
        <v>110</v>
      </c>
      <c r="R359" s="7" t="str">
        <f>IFERROR(__xludf.DUMMYFUNCTION("""COMPUTED_VALUE"""),"")</f>
        <v/>
      </c>
    </row>
    <row r="360">
      <c r="B360" s="8"/>
      <c r="G360" s="7" t="str">
        <f>IFERROR(__xludf.DUMMYFUNCTION("""COMPUTED_VALUE"""),"")</f>
        <v/>
      </c>
      <c r="K360" s="7" t="str">
        <f>IFERROR(__xludf.DUMMYFUNCTION("""COMPUTED_VALUE"""),"")</f>
        <v/>
      </c>
      <c r="M360" s="7" t="s">
        <v>110</v>
      </c>
      <c r="O360" s="7" t="str">
        <f>IFERROR(__xludf.DUMMYFUNCTION("""COMPUTED_VALUE"""),"")</f>
        <v/>
      </c>
      <c r="Q360" s="7" t="s">
        <v>110</v>
      </c>
      <c r="R360" s="7" t="str">
        <f>IFERROR(__xludf.DUMMYFUNCTION("""COMPUTED_VALUE"""),"")</f>
        <v/>
      </c>
    </row>
    <row r="361">
      <c r="B361" s="8"/>
      <c r="G361" s="7" t="str">
        <f>IFERROR(__xludf.DUMMYFUNCTION("""COMPUTED_VALUE"""),"")</f>
        <v/>
      </c>
      <c r="K361" s="7" t="str">
        <f>IFERROR(__xludf.DUMMYFUNCTION("""COMPUTED_VALUE"""),"")</f>
        <v/>
      </c>
      <c r="M361" s="7" t="s">
        <v>110</v>
      </c>
      <c r="O361" s="7" t="str">
        <f>IFERROR(__xludf.DUMMYFUNCTION("""COMPUTED_VALUE"""),"")</f>
        <v/>
      </c>
      <c r="Q361" s="7" t="s">
        <v>110</v>
      </c>
      <c r="R361" s="7" t="str">
        <f>IFERROR(__xludf.DUMMYFUNCTION("""COMPUTED_VALUE"""),"")</f>
        <v/>
      </c>
    </row>
    <row r="362">
      <c r="B362" s="8"/>
      <c r="G362" s="7" t="str">
        <f>IFERROR(__xludf.DUMMYFUNCTION("""COMPUTED_VALUE"""),"")</f>
        <v/>
      </c>
      <c r="K362" s="7" t="str">
        <f>IFERROR(__xludf.DUMMYFUNCTION("""COMPUTED_VALUE"""),"")</f>
        <v/>
      </c>
      <c r="M362" s="7" t="s">
        <v>110</v>
      </c>
      <c r="O362" s="7" t="str">
        <f>IFERROR(__xludf.DUMMYFUNCTION("""COMPUTED_VALUE"""),"")</f>
        <v/>
      </c>
      <c r="Q362" s="7" t="s">
        <v>110</v>
      </c>
      <c r="R362" s="7" t="str">
        <f>IFERROR(__xludf.DUMMYFUNCTION("""COMPUTED_VALUE"""),"")</f>
        <v/>
      </c>
    </row>
    <row r="363">
      <c r="B363" s="8"/>
      <c r="G363" s="7" t="str">
        <f>IFERROR(__xludf.DUMMYFUNCTION("""COMPUTED_VALUE"""),"")</f>
        <v/>
      </c>
      <c r="K363" s="7" t="str">
        <f>IFERROR(__xludf.DUMMYFUNCTION("""COMPUTED_VALUE"""),"")</f>
        <v/>
      </c>
      <c r="M363" s="7" t="s">
        <v>110</v>
      </c>
      <c r="O363" s="7" t="str">
        <f>IFERROR(__xludf.DUMMYFUNCTION("""COMPUTED_VALUE"""),"")</f>
        <v/>
      </c>
      <c r="Q363" s="7" t="s">
        <v>110</v>
      </c>
      <c r="R363" s="7" t="str">
        <f>IFERROR(__xludf.DUMMYFUNCTION("""COMPUTED_VALUE"""),"")</f>
        <v/>
      </c>
    </row>
    <row r="364">
      <c r="B364" s="8"/>
      <c r="G364" s="7" t="str">
        <f>IFERROR(__xludf.DUMMYFUNCTION("""COMPUTED_VALUE"""),"")</f>
        <v/>
      </c>
      <c r="K364" s="7" t="str">
        <f>IFERROR(__xludf.DUMMYFUNCTION("""COMPUTED_VALUE"""),"")</f>
        <v/>
      </c>
      <c r="M364" s="7" t="s">
        <v>110</v>
      </c>
      <c r="O364" s="7" t="str">
        <f>IFERROR(__xludf.DUMMYFUNCTION("""COMPUTED_VALUE"""),"")</f>
        <v/>
      </c>
      <c r="Q364" s="7" t="s">
        <v>110</v>
      </c>
      <c r="R364" s="7" t="str">
        <f>IFERROR(__xludf.DUMMYFUNCTION("""COMPUTED_VALUE"""),"")</f>
        <v/>
      </c>
    </row>
    <row r="365">
      <c r="B365" s="8"/>
      <c r="G365" s="7" t="str">
        <f>IFERROR(__xludf.DUMMYFUNCTION("""COMPUTED_VALUE"""),"")</f>
        <v/>
      </c>
      <c r="K365" s="7" t="str">
        <f>IFERROR(__xludf.DUMMYFUNCTION("""COMPUTED_VALUE"""),"")</f>
        <v/>
      </c>
      <c r="M365" s="7" t="s">
        <v>110</v>
      </c>
      <c r="O365" s="7" t="str">
        <f>IFERROR(__xludf.DUMMYFUNCTION("""COMPUTED_VALUE"""),"")</f>
        <v/>
      </c>
      <c r="Q365" s="7" t="s">
        <v>110</v>
      </c>
      <c r="R365" s="7" t="str">
        <f>IFERROR(__xludf.DUMMYFUNCTION("""COMPUTED_VALUE"""),"")</f>
        <v/>
      </c>
    </row>
    <row r="366">
      <c r="B366" s="8"/>
      <c r="G366" s="7" t="str">
        <f>IFERROR(__xludf.DUMMYFUNCTION("""COMPUTED_VALUE"""),"")</f>
        <v/>
      </c>
      <c r="K366" s="7" t="str">
        <f>IFERROR(__xludf.DUMMYFUNCTION("""COMPUTED_VALUE"""),"")</f>
        <v/>
      </c>
      <c r="M366" s="7" t="s">
        <v>110</v>
      </c>
      <c r="O366" s="7" t="str">
        <f>IFERROR(__xludf.DUMMYFUNCTION("""COMPUTED_VALUE"""),"")</f>
        <v/>
      </c>
      <c r="Q366" s="7" t="s">
        <v>110</v>
      </c>
      <c r="R366" s="7" t="str">
        <f>IFERROR(__xludf.DUMMYFUNCTION("""COMPUTED_VALUE"""),"")</f>
        <v/>
      </c>
    </row>
    <row r="367">
      <c r="B367" s="8"/>
      <c r="G367" s="7" t="str">
        <f>IFERROR(__xludf.DUMMYFUNCTION("""COMPUTED_VALUE"""),"")</f>
        <v/>
      </c>
      <c r="K367" s="7" t="str">
        <f>IFERROR(__xludf.DUMMYFUNCTION("""COMPUTED_VALUE"""),"")</f>
        <v/>
      </c>
      <c r="M367" s="7" t="s">
        <v>110</v>
      </c>
      <c r="O367" s="7" t="str">
        <f>IFERROR(__xludf.DUMMYFUNCTION("""COMPUTED_VALUE"""),"")</f>
        <v/>
      </c>
      <c r="Q367" s="7" t="s">
        <v>110</v>
      </c>
      <c r="R367" s="7" t="str">
        <f>IFERROR(__xludf.DUMMYFUNCTION("""COMPUTED_VALUE"""),"")</f>
        <v/>
      </c>
    </row>
    <row r="368">
      <c r="B368" s="8"/>
      <c r="G368" s="7" t="str">
        <f>IFERROR(__xludf.DUMMYFUNCTION("""COMPUTED_VALUE"""),"")</f>
        <v/>
      </c>
      <c r="K368" s="7" t="str">
        <f>IFERROR(__xludf.DUMMYFUNCTION("""COMPUTED_VALUE"""),"")</f>
        <v/>
      </c>
      <c r="M368" s="7" t="s">
        <v>110</v>
      </c>
      <c r="O368" s="7" t="str">
        <f>IFERROR(__xludf.DUMMYFUNCTION("""COMPUTED_VALUE"""),"")</f>
        <v/>
      </c>
      <c r="Q368" s="7" t="s">
        <v>110</v>
      </c>
      <c r="R368" s="7" t="str">
        <f>IFERROR(__xludf.DUMMYFUNCTION("""COMPUTED_VALUE"""),"")</f>
        <v/>
      </c>
    </row>
    <row r="369">
      <c r="B369" s="8"/>
      <c r="G369" s="7" t="str">
        <f>IFERROR(__xludf.DUMMYFUNCTION("""COMPUTED_VALUE"""),"")</f>
        <v/>
      </c>
      <c r="K369" s="7" t="str">
        <f>IFERROR(__xludf.DUMMYFUNCTION("""COMPUTED_VALUE"""),"")</f>
        <v/>
      </c>
      <c r="M369" s="7" t="s">
        <v>110</v>
      </c>
      <c r="O369" s="7" t="str">
        <f>IFERROR(__xludf.DUMMYFUNCTION("""COMPUTED_VALUE"""),"")</f>
        <v/>
      </c>
      <c r="Q369" s="7" t="s">
        <v>110</v>
      </c>
      <c r="R369" s="7" t="str">
        <f>IFERROR(__xludf.DUMMYFUNCTION("""COMPUTED_VALUE"""),"")</f>
        <v/>
      </c>
    </row>
    <row r="370">
      <c r="B370" s="8"/>
      <c r="G370" s="7" t="str">
        <f>IFERROR(__xludf.DUMMYFUNCTION("""COMPUTED_VALUE"""),"")</f>
        <v/>
      </c>
      <c r="K370" s="7" t="str">
        <f>IFERROR(__xludf.DUMMYFUNCTION("""COMPUTED_VALUE"""),"")</f>
        <v/>
      </c>
      <c r="M370" s="7" t="s">
        <v>110</v>
      </c>
      <c r="O370" s="7" t="str">
        <f>IFERROR(__xludf.DUMMYFUNCTION("""COMPUTED_VALUE"""),"")</f>
        <v/>
      </c>
      <c r="Q370" s="7" t="s">
        <v>110</v>
      </c>
      <c r="R370" s="7" t="str">
        <f>IFERROR(__xludf.DUMMYFUNCTION("""COMPUTED_VALUE"""),"")</f>
        <v/>
      </c>
    </row>
    <row r="371">
      <c r="B371" s="8"/>
      <c r="G371" s="7" t="str">
        <f>IFERROR(__xludf.DUMMYFUNCTION("""COMPUTED_VALUE"""),"")</f>
        <v/>
      </c>
      <c r="K371" s="7" t="str">
        <f>IFERROR(__xludf.DUMMYFUNCTION("""COMPUTED_VALUE"""),"")</f>
        <v/>
      </c>
      <c r="M371" s="7" t="s">
        <v>110</v>
      </c>
      <c r="O371" s="7" t="str">
        <f>IFERROR(__xludf.DUMMYFUNCTION("""COMPUTED_VALUE"""),"")</f>
        <v/>
      </c>
      <c r="Q371" s="7" t="s">
        <v>110</v>
      </c>
      <c r="R371" s="7" t="str">
        <f>IFERROR(__xludf.DUMMYFUNCTION("""COMPUTED_VALUE"""),"")</f>
        <v/>
      </c>
    </row>
    <row r="372">
      <c r="B372" s="8"/>
      <c r="G372" s="7" t="str">
        <f>IFERROR(__xludf.DUMMYFUNCTION("""COMPUTED_VALUE"""),"")</f>
        <v/>
      </c>
      <c r="K372" s="7" t="str">
        <f>IFERROR(__xludf.DUMMYFUNCTION("""COMPUTED_VALUE"""),"")</f>
        <v/>
      </c>
      <c r="M372" s="7" t="s">
        <v>110</v>
      </c>
      <c r="O372" s="7" t="str">
        <f>IFERROR(__xludf.DUMMYFUNCTION("""COMPUTED_VALUE"""),"")</f>
        <v/>
      </c>
      <c r="Q372" s="7" t="s">
        <v>110</v>
      </c>
      <c r="R372" s="7" t="str">
        <f>IFERROR(__xludf.DUMMYFUNCTION("""COMPUTED_VALUE"""),"")</f>
        <v/>
      </c>
    </row>
    <row r="373">
      <c r="B373" s="8"/>
      <c r="G373" s="7" t="str">
        <f>IFERROR(__xludf.DUMMYFUNCTION("""COMPUTED_VALUE"""),"")</f>
        <v/>
      </c>
      <c r="K373" s="7" t="str">
        <f>IFERROR(__xludf.DUMMYFUNCTION("""COMPUTED_VALUE"""),"")</f>
        <v/>
      </c>
      <c r="M373" s="7" t="s">
        <v>110</v>
      </c>
      <c r="O373" s="7" t="str">
        <f>IFERROR(__xludf.DUMMYFUNCTION("""COMPUTED_VALUE"""),"")</f>
        <v/>
      </c>
      <c r="Q373" s="7" t="s">
        <v>110</v>
      </c>
      <c r="R373" s="7" t="str">
        <f>IFERROR(__xludf.DUMMYFUNCTION("""COMPUTED_VALUE"""),"")</f>
        <v/>
      </c>
    </row>
    <row r="374">
      <c r="B374" s="8"/>
      <c r="G374" s="7" t="str">
        <f>IFERROR(__xludf.DUMMYFUNCTION("""COMPUTED_VALUE"""),"")</f>
        <v/>
      </c>
      <c r="K374" s="7" t="str">
        <f>IFERROR(__xludf.DUMMYFUNCTION("""COMPUTED_VALUE"""),"")</f>
        <v/>
      </c>
      <c r="M374" s="7" t="s">
        <v>110</v>
      </c>
      <c r="O374" s="7" t="str">
        <f>IFERROR(__xludf.DUMMYFUNCTION("""COMPUTED_VALUE"""),"")</f>
        <v/>
      </c>
      <c r="Q374" s="7" t="s">
        <v>110</v>
      </c>
      <c r="R374" s="7" t="str">
        <f>IFERROR(__xludf.DUMMYFUNCTION("""COMPUTED_VALUE"""),"")</f>
        <v/>
      </c>
    </row>
    <row r="375">
      <c r="B375" s="8"/>
      <c r="G375" s="7" t="str">
        <f>IFERROR(__xludf.DUMMYFUNCTION("""COMPUTED_VALUE"""),"")</f>
        <v/>
      </c>
      <c r="K375" s="7" t="str">
        <f>IFERROR(__xludf.DUMMYFUNCTION("""COMPUTED_VALUE"""),"")</f>
        <v/>
      </c>
      <c r="M375" s="7" t="s">
        <v>110</v>
      </c>
      <c r="O375" s="7" t="str">
        <f>IFERROR(__xludf.DUMMYFUNCTION("""COMPUTED_VALUE"""),"")</f>
        <v/>
      </c>
      <c r="Q375" s="7" t="s">
        <v>110</v>
      </c>
      <c r="R375" s="7" t="str">
        <f>IFERROR(__xludf.DUMMYFUNCTION("""COMPUTED_VALUE"""),"")</f>
        <v/>
      </c>
    </row>
    <row r="376">
      <c r="B376" s="8"/>
      <c r="G376" s="7" t="str">
        <f>IFERROR(__xludf.DUMMYFUNCTION("""COMPUTED_VALUE"""),"")</f>
        <v/>
      </c>
      <c r="K376" s="7" t="str">
        <f>IFERROR(__xludf.DUMMYFUNCTION("""COMPUTED_VALUE"""),"")</f>
        <v/>
      </c>
      <c r="M376" s="7" t="s">
        <v>110</v>
      </c>
      <c r="O376" s="7" t="str">
        <f>IFERROR(__xludf.DUMMYFUNCTION("""COMPUTED_VALUE"""),"")</f>
        <v/>
      </c>
      <c r="Q376" s="7" t="s">
        <v>110</v>
      </c>
      <c r="R376" s="7" t="str">
        <f>IFERROR(__xludf.DUMMYFUNCTION("""COMPUTED_VALUE"""),"")</f>
        <v/>
      </c>
    </row>
    <row r="377">
      <c r="B377" s="8"/>
      <c r="G377" s="7" t="str">
        <f>IFERROR(__xludf.DUMMYFUNCTION("""COMPUTED_VALUE"""),"")</f>
        <v/>
      </c>
      <c r="K377" s="7" t="str">
        <f>IFERROR(__xludf.DUMMYFUNCTION("""COMPUTED_VALUE"""),"")</f>
        <v/>
      </c>
      <c r="M377" s="7" t="s">
        <v>110</v>
      </c>
      <c r="O377" s="7" t="str">
        <f>IFERROR(__xludf.DUMMYFUNCTION("""COMPUTED_VALUE"""),"")</f>
        <v/>
      </c>
      <c r="Q377" s="7" t="s">
        <v>110</v>
      </c>
      <c r="R377" s="7" t="str">
        <f>IFERROR(__xludf.DUMMYFUNCTION("""COMPUTED_VALUE"""),"")</f>
        <v/>
      </c>
    </row>
    <row r="378">
      <c r="B378" s="8"/>
      <c r="G378" s="7" t="str">
        <f>IFERROR(__xludf.DUMMYFUNCTION("""COMPUTED_VALUE"""),"")</f>
        <v/>
      </c>
      <c r="K378" s="7" t="str">
        <f>IFERROR(__xludf.DUMMYFUNCTION("""COMPUTED_VALUE"""),"")</f>
        <v/>
      </c>
      <c r="M378" s="7" t="s">
        <v>110</v>
      </c>
      <c r="O378" s="7" t="str">
        <f>IFERROR(__xludf.DUMMYFUNCTION("""COMPUTED_VALUE"""),"")</f>
        <v/>
      </c>
      <c r="Q378" s="7" t="s">
        <v>110</v>
      </c>
      <c r="R378" s="7" t="str">
        <f>IFERROR(__xludf.DUMMYFUNCTION("""COMPUTED_VALUE"""),"")</f>
        <v/>
      </c>
    </row>
    <row r="379">
      <c r="B379" s="8"/>
      <c r="G379" s="7" t="str">
        <f>IFERROR(__xludf.DUMMYFUNCTION("""COMPUTED_VALUE"""),"")</f>
        <v/>
      </c>
      <c r="K379" s="7" t="str">
        <f>IFERROR(__xludf.DUMMYFUNCTION("""COMPUTED_VALUE"""),"")</f>
        <v/>
      </c>
      <c r="M379" s="7" t="s">
        <v>110</v>
      </c>
      <c r="O379" s="7" t="str">
        <f>IFERROR(__xludf.DUMMYFUNCTION("""COMPUTED_VALUE"""),"")</f>
        <v/>
      </c>
      <c r="Q379" s="7" t="s">
        <v>110</v>
      </c>
      <c r="R379" s="7" t="str">
        <f>IFERROR(__xludf.DUMMYFUNCTION("""COMPUTED_VALUE"""),"")</f>
        <v/>
      </c>
    </row>
    <row r="380">
      <c r="B380" s="8"/>
      <c r="G380" s="7" t="str">
        <f>IFERROR(__xludf.DUMMYFUNCTION("""COMPUTED_VALUE"""),"")</f>
        <v/>
      </c>
      <c r="K380" s="7" t="str">
        <f>IFERROR(__xludf.DUMMYFUNCTION("""COMPUTED_VALUE"""),"")</f>
        <v/>
      </c>
      <c r="M380" s="7" t="s">
        <v>110</v>
      </c>
      <c r="O380" s="7" t="str">
        <f>IFERROR(__xludf.DUMMYFUNCTION("""COMPUTED_VALUE"""),"")</f>
        <v/>
      </c>
      <c r="Q380" s="7" t="s">
        <v>110</v>
      </c>
      <c r="R380" s="7" t="str">
        <f>IFERROR(__xludf.DUMMYFUNCTION("""COMPUTED_VALUE"""),"")</f>
        <v/>
      </c>
    </row>
    <row r="381">
      <c r="B381" s="8"/>
      <c r="G381" s="7" t="str">
        <f>IFERROR(__xludf.DUMMYFUNCTION("""COMPUTED_VALUE"""),"")</f>
        <v/>
      </c>
      <c r="K381" s="7" t="str">
        <f>IFERROR(__xludf.DUMMYFUNCTION("""COMPUTED_VALUE"""),"")</f>
        <v/>
      </c>
      <c r="M381" s="7" t="s">
        <v>110</v>
      </c>
      <c r="O381" s="7" t="str">
        <f>IFERROR(__xludf.DUMMYFUNCTION("""COMPUTED_VALUE"""),"")</f>
        <v/>
      </c>
      <c r="Q381" s="7" t="s">
        <v>110</v>
      </c>
      <c r="R381" s="7" t="str">
        <f>IFERROR(__xludf.DUMMYFUNCTION("""COMPUTED_VALUE"""),"")</f>
        <v/>
      </c>
    </row>
    <row r="382">
      <c r="B382" s="8"/>
      <c r="G382" s="7" t="str">
        <f>IFERROR(__xludf.DUMMYFUNCTION("""COMPUTED_VALUE"""),"")</f>
        <v/>
      </c>
      <c r="K382" s="7" t="str">
        <f>IFERROR(__xludf.DUMMYFUNCTION("""COMPUTED_VALUE"""),"")</f>
        <v/>
      </c>
      <c r="M382" s="7" t="s">
        <v>110</v>
      </c>
      <c r="O382" s="7" t="str">
        <f>IFERROR(__xludf.DUMMYFUNCTION("""COMPUTED_VALUE"""),"")</f>
        <v/>
      </c>
      <c r="Q382" s="7" t="s">
        <v>110</v>
      </c>
      <c r="R382" s="7" t="str">
        <f>IFERROR(__xludf.DUMMYFUNCTION("""COMPUTED_VALUE"""),"")</f>
        <v/>
      </c>
    </row>
    <row r="383">
      <c r="B383" s="8"/>
      <c r="G383" s="7" t="str">
        <f>IFERROR(__xludf.DUMMYFUNCTION("""COMPUTED_VALUE"""),"")</f>
        <v/>
      </c>
      <c r="K383" s="7" t="str">
        <f>IFERROR(__xludf.DUMMYFUNCTION("""COMPUTED_VALUE"""),"")</f>
        <v/>
      </c>
      <c r="M383" s="7" t="s">
        <v>110</v>
      </c>
      <c r="O383" s="7" t="str">
        <f>IFERROR(__xludf.DUMMYFUNCTION("""COMPUTED_VALUE"""),"")</f>
        <v/>
      </c>
      <c r="Q383" s="7" t="s">
        <v>110</v>
      </c>
      <c r="R383" s="7" t="str">
        <f>IFERROR(__xludf.DUMMYFUNCTION("""COMPUTED_VALUE"""),"")</f>
        <v/>
      </c>
    </row>
    <row r="384">
      <c r="B384" s="8"/>
      <c r="G384" s="7" t="str">
        <f>IFERROR(__xludf.DUMMYFUNCTION("""COMPUTED_VALUE"""),"")</f>
        <v/>
      </c>
      <c r="K384" s="7" t="str">
        <f>IFERROR(__xludf.DUMMYFUNCTION("""COMPUTED_VALUE"""),"")</f>
        <v/>
      </c>
      <c r="M384" s="7" t="s">
        <v>110</v>
      </c>
      <c r="O384" s="7" t="str">
        <f>IFERROR(__xludf.DUMMYFUNCTION("""COMPUTED_VALUE"""),"")</f>
        <v/>
      </c>
      <c r="Q384" s="7" t="s">
        <v>110</v>
      </c>
      <c r="R384" s="7" t="str">
        <f>IFERROR(__xludf.DUMMYFUNCTION("""COMPUTED_VALUE"""),"")</f>
        <v/>
      </c>
    </row>
    <row r="385">
      <c r="B385" s="8"/>
      <c r="G385" s="7" t="str">
        <f>IFERROR(__xludf.DUMMYFUNCTION("""COMPUTED_VALUE"""),"")</f>
        <v/>
      </c>
      <c r="K385" s="7" t="str">
        <f>IFERROR(__xludf.DUMMYFUNCTION("""COMPUTED_VALUE"""),"")</f>
        <v/>
      </c>
      <c r="M385" s="7" t="s">
        <v>110</v>
      </c>
      <c r="O385" s="7" t="str">
        <f>IFERROR(__xludf.DUMMYFUNCTION("""COMPUTED_VALUE"""),"")</f>
        <v/>
      </c>
      <c r="Q385" s="7" t="s">
        <v>110</v>
      </c>
      <c r="R385" s="7" t="str">
        <f>IFERROR(__xludf.DUMMYFUNCTION("""COMPUTED_VALUE"""),"")</f>
        <v/>
      </c>
    </row>
    <row r="386">
      <c r="B386" s="8"/>
      <c r="G386" s="7" t="str">
        <f>IFERROR(__xludf.DUMMYFUNCTION("""COMPUTED_VALUE"""),"")</f>
        <v/>
      </c>
      <c r="K386" s="7" t="str">
        <f>IFERROR(__xludf.DUMMYFUNCTION("""COMPUTED_VALUE"""),"")</f>
        <v/>
      </c>
      <c r="M386" s="7" t="s">
        <v>110</v>
      </c>
      <c r="O386" s="7" t="str">
        <f>IFERROR(__xludf.DUMMYFUNCTION("""COMPUTED_VALUE"""),"")</f>
        <v/>
      </c>
      <c r="Q386" s="7" t="s">
        <v>110</v>
      </c>
      <c r="R386" s="7" t="str">
        <f>IFERROR(__xludf.DUMMYFUNCTION("""COMPUTED_VALUE"""),"")</f>
        <v/>
      </c>
    </row>
    <row r="387">
      <c r="B387" s="8"/>
      <c r="G387" s="7" t="str">
        <f>IFERROR(__xludf.DUMMYFUNCTION("""COMPUTED_VALUE"""),"")</f>
        <v/>
      </c>
      <c r="K387" s="7" t="str">
        <f>IFERROR(__xludf.DUMMYFUNCTION("""COMPUTED_VALUE"""),"")</f>
        <v/>
      </c>
      <c r="M387" s="7" t="s">
        <v>110</v>
      </c>
      <c r="O387" s="7" t="str">
        <f>IFERROR(__xludf.DUMMYFUNCTION("""COMPUTED_VALUE"""),"")</f>
        <v/>
      </c>
      <c r="Q387" s="7" t="s">
        <v>110</v>
      </c>
      <c r="R387" s="7" t="str">
        <f>IFERROR(__xludf.DUMMYFUNCTION("""COMPUTED_VALUE"""),"")</f>
        <v/>
      </c>
    </row>
    <row r="388">
      <c r="B388" s="8"/>
      <c r="G388" s="7" t="str">
        <f>IFERROR(__xludf.DUMMYFUNCTION("""COMPUTED_VALUE"""),"")</f>
        <v/>
      </c>
      <c r="K388" s="7" t="str">
        <f>IFERROR(__xludf.DUMMYFUNCTION("""COMPUTED_VALUE"""),"")</f>
        <v/>
      </c>
      <c r="M388" s="7" t="s">
        <v>110</v>
      </c>
      <c r="O388" s="7" t="str">
        <f>IFERROR(__xludf.DUMMYFUNCTION("""COMPUTED_VALUE"""),"")</f>
        <v/>
      </c>
      <c r="Q388" s="7" t="s">
        <v>110</v>
      </c>
      <c r="R388" s="7" t="str">
        <f>IFERROR(__xludf.DUMMYFUNCTION("""COMPUTED_VALUE"""),"")</f>
        <v/>
      </c>
    </row>
    <row r="389">
      <c r="B389" s="8"/>
      <c r="G389" s="7" t="str">
        <f>IFERROR(__xludf.DUMMYFUNCTION("""COMPUTED_VALUE"""),"")</f>
        <v/>
      </c>
      <c r="K389" s="7" t="str">
        <f>IFERROR(__xludf.DUMMYFUNCTION("""COMPUTED_VALUE"""),"")</f>
        <v/>
      </c>
      <c r="M389" s="7" t="s">
        <v>110</v>
      </c>
      <c r="O389" s="7" t="str">
        <f>IFERROR(__xludf.DUMMYFUNCTION("""COMPUTED_VALUE"""),"")</f>
        <v/>
      </c>
      <c r="Q389" s="7" t="s">
        <v>110</v>
      </c>
      <c r="R389" s="7" t="str">
        <f>IFERROR(__xludf.DUMMYFUNCTION("""COMPUTED_VALUE"""),"")</f>
        <v/>
      </c>
    </row>
    <row r="390">
      <c r="B390" s="8"/>
      <c r="G390" s="7" t="str">
        <f>IFERROR(__xludf.DUMMYFUNCTION("""COMPUTED_VALUE"""),"")</f>
        <v/>
      </c>
      <c r="K390" s="7" t="str">
        <f>IFERROR(__xludf.DUMMYFUNCTION("""COMPUTED_VALUE"""),"")</f>
        <v/>
      </c>
      <c r="M390" s="7" t="s">
        <v>110</v>
      </c>
      <c r="O390" s="7" t="str">
        <f>IFERROR(__xludf.DUMMYFUNCTION("""COMPUTED_VALUE"""),"")</f>
        <v/>
      </c>
      <c r="Q390" s="7" t="s">
        <v>110</v>
      </c>
      <c r="R390" s="7" t="str">
        <f>IFERROR(__xludf.DUMMYFUNCTION("""COMPUTED_VALUE"""),"")</f>
        <v/>
      </c>
    </row>
    <row r="391">
      <c r="B391" s="8"/>
      <c r="G391" s="7" t="str">
        <f>IFERROR(__xludf.DUMMYFUNCTION("""COMPUTED_VALUE"""),"")</f>
        <v/>
      </c>
      <c r="K391" s="7" t="str">
        <f>IFERROR(__xludf.DUMMYFUNCTION("""COMPUTED_VALUE"""),"")</f>
        <v/>
      </c>
      <c r="M391" s="7" t="s">
        <v>110</v>
      </c>
      <c r="O391" s="7" t="str">
        <f>IFERROR(__xludf.DUMMYFUNCTION("""COMPUTED_VALUE"""),"")</f>
        <v/>
      </c>
      <c r="Q391" s="7" t="s">
        <v>110</v>
      </c>
      <c r="R391" s="7" t="str">
        <f>IFERROR(__xludf.DUMMYFUNCTION("""COMPUTED_VALUE"""),"")</f>
        <v/>
      </c>
    </row>
    <row r="392">
      <c r="B392" s="8"/>
      <c r="G392" s="7" t="str">
        <f>IFERROR(__xludf.DUMMYFUNCTION("""COMPUTED_VALUE"""),"")</f>
        <v/>
      </c>
      <c r="K392" s="7" t="str">
        <f>IFERROR(__xludf.DUMMYFUNCTION("""COMPUTED_VALUE"""),"")</f>
        <v/>
      </c>
      <c r="M392" s="7" t="s">
        <v>110</v>
      </c>
      <c r="O392" s="7" t="str">
        <f>IFERROR(__xludf.DUMMYFUNCTION("""COMPUTED_VALUE"""),"")</f>
        <v/>
      </c>
      <c r="Q392" s="7" t="s">
        <v>110</v>
      </c>
      <c r="R392" s="7" t="str">
        <f>IFERROR(__xludf.DUMMYFUNCTION("""COMPUTED_VALUE"""),"")</f>
        <v/>
      </c>
    </row>
    <row r="393">
      <c r="B393" s="8"/>
      <c r="G393" s="7" t="str">
        <f>IFERROR(__xludf.DUMMYFUNCTION("""COMPUTED_VALUE"""),"")</f>
        <v/>
      </c>
      <c r="K393" s="7" t="str">
        <f>IFERROR(__xludf.DUMMYFUNCTION("""COMPUTED_VALUE"""),"")</f>
        <v/>
      </c>
      <c r="M393" s="7" t="s">
        <v>110</v>
      </c>
      <c r="O393" s="7" t="str">
        <f>IFERROR(__xludf.DUMMYFUNCTION("""COMPUTED_VALUE"""),"")</f>
        <v/>
      </c>
      <c r="Q393" s="7" t="s">
        <v>110</v>
      </c>
      <c r="R393" s="7" t="str">
        <f>IFERROR(__xludf.DUMMYFUNCTION("""COMPUTED_VALUE"""),"")</f>
        <v/>
      </c>
    </row>
    <row r="394">
      <c r="B394" s="8"/>
      <c r="G394" s="7" t="str">
        <f>IFERROR(__xludf.DUMMYFUNCTION("""COMPUTED_VALUE"""),"")</f>
        <v/>
      </c>
      <c r="K394" s="7" t="str">
        <f>IFERROR(__xludf.DUMMYFUNCTION("""COMPUTED_VALUE"""),"")</f>
        <v/>
      </c>
      <c r="M394" s="7" t="s">
        <v>110</v>
      </c>
      <c r="O394" s="7" t="str">
        <f>IFERROR(__xludf.DUMMYFUNCTION("""COMPUTED_VALUE"""),"")</f>
        <v/>
      </c>
      <c r="Q394" s="7" t="s">
        <v>110</v>
      </c>
      <c r="R394" s="7" t="str">
        <f>IFERROR(__xludf.DUMMYFUNCTION("""COMPUTED_VALUE"""),"")</f>
        <v/>
      </c>
    </row>
    <row r="395">
      <c r="B395" s="8"/>
      <c r="G395" s="7" t="str">
        <f>IFERROR(__xludf.DUMMYFUNCTION("""COMPUTED_VALUE"""),"")</f>
        <v/>
      </c>
      <c r="K395" s="7" t="str">
        <f>IFERROR(__xludf.DUMMYFUNCTION("""COMPUTED_VALUE"""),"")</f>
        <v/>
      </c>
      <c r="M395" s="7" t="s">
        <v>110</v>
      </c>
      <c r="O395" s="7" t="str">
        <f>IFERROR(__xludf.DUMMYFUNCTION("""COMPUTED_VALUE"""),"")</f>
        <v/>
      </c>
      <c r="Q395" s="7" t="s">
        <v>110</v>
      </c>
      <c r="R395" s="7" t="str">
        <f>IFERROR(__xludf.DUMMYFUNCTION("""COMPUTED_VALUE"""),"")</f>
        <v/>
      </c>
    </row>
    <row r="396">
      <c r="B396" s="8"/>
      <c r="G396" s="7" t="str">
        <f>IFERROR(__xludf.DUMMYFUNCTION("""COMPUTED_VALUE"""),"")</f>
        <v/>
      </c>
      <c r="K396" s="7" t="str">
        <f>IFERROR(__xludf.DUMMYFUNCTION("""COMPUTED_VALUE"""),"")</f>
        <v/>
      </c>
      <c r="M396" s="7" t="s">
        <v>110</v>
      </c>
      <c r="O396" s="7" t="str">
        <f>IFERROR(__xludf.DUMMYFUNCTION("""COMPUTED_VALUE"""),"")</f>
        <v/>
      </c>
      <c r="Q396" s="7" t="s">
        <v>110</v>
      </c>
      <c r="R396" s="7" t="str">
        <f>IFERROR(__xludf.DUMMYFUNCTION("""COMPUTED_VALUE"""),"")</f>
        <v/>
      </c>
    </row>
    <row r="397">
      <c r="B397" s="8"/>
      <c r="G397" s="7" t="str">
        <f>IFERROR(__xludf.DUMMYFUNCTION("""COMPUTED_VALUE"""),"")</f>
        <v/>
      </c>
      <c r="K397" s="7" t="str">
        <f>IFERROR(__xludf.DUMMYFUNCTION("""COMPUTED_VALUE"""),"")</f>
        <v/>
      </c>
      <c r="M397" s="7" t="s">
        <v>110</v>
      </c>
      <c r="O397" s="7" t="str">
        <f>IFERROR(__xludf.DUMMYFUNCTION("""COMPUTED_VALUE"""),"")</f>
        <v/>
      </c>
      <c r="Q397" s="7" t="s">
        <v>110</v>
      </c>
      <c r="R397" s="7" t="str">
        <f>IFERROR(__xludf.DUMMYFUNCTION("""COMPUTED_VALUE"""),"")</f>
        <v/>
      </c>
    </row>
    <row r="398">
      <c r="B398" s="8"/>
      <c r="G398" s="7" t="str">
        <f>IFERROR(__xludf.DUMMYFUNCTION("""COMPUTED_VALUE"""),"")</f>
        <v/>
      </c>
      <c r="K398" s="7" t="str">
        <f>IFERROR(__xludf.DUMMYFUNCTION("""COMPUTED_VALUE"""),"")</f>
        <v/>
      </c>
      <c r="M398" s="7" t="s">
        <v>110</v>
      </c>
      <c r="O398" s="7" t="str">
        <f>IFERROR(__xludf.DUMMYFUNCTION("""COMPUTED_VALUE"""),"")</f>
        <v/>
      </c>
      <c r="Q398" s="7" t="s">
        <v>110</v>
      </c>
      <c r="R398" s="7" t="str">
        <f>IFERROR(__xludf.DUMMYFUNCTION("""COMPUTED_VALUE"""),"")</f>
        <v/>
      </c>
    </row>
    <row r="399">
      <c r="B399" s="8"/>
      <c r="G399" s="7" t="str">
        <f>IFERROR(__xludf.DUMMYFUNCTION("""COMPUTED_VALUE"""),"")</f>
        <v/>
      </c>
      <c r="K399" s="7" t="str">
        <f>IFERROR(__xludf.DUMMYFUNCTION("""COMPUTED_VALUE"""),"")</f>
        <v/>
      </c>
      <c r="M399" s="7" t="s">
        <v>110</v>
      </c>
      <c r="O399" s="7" t="str">
        <f>IFERROR(__xludf.DUMMYFUNCTION("""COMPUTED_VALUE"""),"")</f>
        <v/>
      </c>
      <c r="Q399" s="7" t="s">
        <v>110</v>
      </c>
      <c r="R399" s="7" t="str">
        <f>IFERROR(__xludf.DUMMYFUNCTION("""COMPUTED_VALUE"""),"")</f>
        <v/>
      </c>
    </row>
    <row r="400">
      <c r="B400" s="8"/>
      <c r="G400" s="7" t="str">
        <f>IFERROR(__xludf.DUMMYFUNCTION("""COMPUTED_VALUE"""),"")</f>
        <v/>
      </c>
      <c r="K400" s="7" t="str">
        <f>IFERROR(__xludf.DUMMYFUNCTION("""COMPUTED_VALUE"""),"")</f>
        <v/>
      </c>
      <c r="M400" s="7" t="s">
        <v>110</v>
      </c>
      <c r="O400" s="7" t="str">
        <f>IFERROR(__xludf.DUMMYFUNCTION("""COMPUTED_VALUE"""),"")</f>
        <v/>
      </c>
      <c r="Q400" s="7" t="s">
        <v>110</v>
      </c>
      <c r="R400" s="7" t="str">
        <f>IFERROR(__xludf.DUMMYFUNCTION("""COMPUTED_VALUE"""),"")</f>
        <v/>
      </c>
    </row>
    <row r="401">
      <c r="B401" s="8"/>
      <c r="G401" s="7" t="str">
        <f>IFERROR(__xludf.DUMMYFUNCTION("""COMPUTED_VALUE"""),"")</f>
        <v/>
      </c>
      <c r="K401" s="7" t="str">
        <f>IFERROR(__xludf.DUMMYFUNCTION("""COMPUTED_VALUE"""),"")</f>
        <v/>
      </c>
      <c r="M401" s="7" t="s">
        <v>110</v>
      </c>
      <c r="O401" s="7" t="str">
        <f>IFERROR(__xludf.DUMMYFUNCTION("""COMPUTED_VALUE"""),"")</f>
        <v/>
      </c>
      <c r="Q401" s="7" t="s">
        <v>110</v>
      </c>
      <c r="R401" s="7" t="str">
        <f>IFERROR(__xludf.DUMMYFUNCTION("""COMPUTED_VALUE"""),"")</f>
        <v/>
      </c>
    </row>
    <row r="402">
      <c r="B402" s="8"/>
      <c r="G402" s="7" t="str">
        <f>IFERROR(__xludf.DUMMYFUNCTION("""COMPUTED_VALUE"""),"")</f>
        <v/>
      </c>
      <c r="K402" s="7" t="str">
        <f>IFERROR(__xludf.DUMMYFUNCTION("""COMPUTED_VALUE"""),"")</f>
        <v/>
      </c>
      <c r="M402" s="7" t="s">
        <v>110</v>
      </c>
      <c r="O402" s="7" t="str">
        <f>IFERROR(__xludf.DUMMYFUNCTION("""COMPUTED_VALUE"""),"")</f>
        <v/>
      </c>
      <c r="Q402" s="7" t="s">
        <v>110</v>
      </c>
      <c r="R402" s="7" t="str">
        <f>IFERROR(__xludf.DUMMYFUNCTION("""COMPUTED_VALUE"""),"")</f>
        <v/>
      </c>
    </row>
    <row r="403">
      <c r="B403" s="8"/>
      <c r="G403" s="7" t="str">
        <f>IFERROR(__xludf.DUMMYFUNCTION("""COMPUTED_VALUE"""),"")</f>
        <v/>
      </c>
      <c r="K403" s="7" t="str">
        <f>IFERROR(__xludf.DUMMYFUNCTION("""COMPUTED_VALUE"""),"")</f>
        <v/>
      </c>
      <c r="M403" s="7" t="s">
        <v>110</v>
      </c>
      <c r="O403" s="7" t="str">
        <f>IFERROR(__xludf.DUMMYFUNCTION("""COMPUTED_VALUE"""),"")</f>
        <v/>
      </c>
      <c r="Q403" s="7" t="s">
        <v>110</v>
      </c>
      <c r="R403" s="7" t="str">
        <f>IFERROR(__xludf.DUMMYFUNCTION("""COMPUTED_VALUE"""),"")</f>
        <v/>
      </c>
    </row>
    <row r="404">
      <c r="B404" s="8"/>
      <c r="G404" s="7" t="str">
        <f>IFERROR(__xludf.DUMMYFUNCTION("""COMPUTED_VALUE"""),"")</f>
        <v/>
      </c>
      <c r="K404" s="7" t="str">
        <f>IFERROR(__xludf.DUMMYFUNCTION("""COMPUTED_VALUE"""),"")</f>
        <v/>
      </c>
      <c r="M404" s="7" t="s">
        <v>110</v>
      </c>
      <c r="O404" s="7" t="str">
        <f>IFERROR(__xludf.DUMMYFUNCTION("""COMPUTED_VALUE"""),"")</f>
        <v/>
      </c>
      <c r="Q404" s="7" t="s">
        <v>110</v>
      </c>
      <c r="R404" s="7" t="str">
        <f>IFERROR(__xludf.DUMMYFUNCTION("""COMPUTED_VALUE"""),"")</f>
        <v/>
      </c>
    </row>
    <row r="405">
      <c r="B405" s="8"/>
      <c r="G405" s="7" t="str">
        <f>IFERROR(__xludf.DUMMYFUNCTION("""COMPUTED_VALUE"""),"")</f>
        <v/>
      </c>
      <c r="K405" s="7" t="str">
        <f>IFERROR(__xludf.DUMMYFUNCTION("""COMPUTED_VALUE"""),"")</f>
        <v/>
      </c>
      <c r="M405" s="7" t="s">
        <v>110</v>
      </c>
      <c r="O405" s="7" t="str">
        <f>IFERROR(__xludf.DUMMYFUNCTION("""COMPUTED_VALUE"""),"")</f>
        <v/>
      </c>
      <c r="Q405" s="7" t="s">
        <v>110</v>
      </c>
      <c r="R405" s="7" t="str">
        <f>IFERROR(__xludf.DUMMYFUNCTION("""COMPUTED_VALUE"""),"")</f>
        <v/>
      </c>
    </row>
    <row r="406">
      <c r="B406" s="8"/>
      <c r="G406" s="7" t="str">
        <f>IFERROR(__xludf.DUMMYFUNCTION("""COMPUTED_VALUE"""),"")</f>
        <v/>
      </c>
      <c r="K406" s="7" t="str">
        <f>IFERROR(__xludf.DUMMYFUNCTION("""COMPUTED_VALUE"""),"")</f>
        <v/>
      </c>
      <c r="M406" s="7" t="s">
        <v>110</v>
      </c>
      <c r="O406" s="7" t="str">
        <f>IFERROR(__xludf.DUMMYFUNCTION("""COMPUTED_VALUE"""),"")</f>
        <v/>
      </c>
      <c r="Q406" s="7" t="s">
        <v>110</v>
      </c>
      <c r="R406" s="7" t="str">
        <f>IFERROR(__xludf.DUMMYFUNCTION("""COMPUTED_VALUE"""),"")</f>
        <v/>
      </c>
    </row>
    <row r="407">
      <c r="B407" s="8"/>
      <c r="G407" s="7" t="str">
        <f>IFERROR(__xludf.DUMMYFUNCTION("""COMPUTED_VALUE"""),"")</f>
        <v/>
      </c>
      <c r="K407" s="7" t="str">
        <f>IFERROR(__xludf.DUMMYFUNCTION("""COMPUTED_VALUE"""),"")</f>
        <v/>
      </c>
      <c r="M407" s="7" t="s">
        <v>110</v>
      </c>
      <c r="O407" s="7" t="str">
        <f>IFERROR(__xludf.DUMMYFUNCTION("""COMPUTED_VALUE"""),"")</f>
        <v/>
      </c>
      <c r="Q407" s="7" t="s">
        <v>110</v>
      </c>
      <c r="R407" s="7" t="str">
        <f>IFERROR(__xludf.DUMMYFUNCTION("""COMPUTED_VALUE"""),"")</f>
        <v/>
      </c>
    </row>
    <row r="408">
      <c r="B408" s="8"/>
      <c r="G408" s="7" t="str">
        <f>IFERROR(__xludf.DUMMYFUNCTION("""COMPUTED_VALUE"""),"")</f>
        <v/>
      </c>
      <c r="K408" s="7" t="str">
        <f>IFERROR(__xludf.DUMMYFUNCTION("""COMPUTED_VALUE"""),"")</f>
        <v/>
      </c>
      <c r="M408" s="7" t="s">
        <v>110</v>
      </c>
      <c r="O408" s="7" t="str">
        <f>IFERROR(__xludf.DUMMYFUNCTION("""COMPUTED_VALUE"""),"")</f>
        <v/>
      </c>
      <c r="Q408" s="7" t="s">
        <v>110</v>
      </c>
      <c r="R408" s="7" t="str">
        <f>IFERROR(__xludf.DUMMYFUNCTION("""COMPUTED_VALUE"""),"")</f>
        <v/>
      </c>
    </row>
    <row r="409">
      <c r="B409" s="8"/>
      <c r="G409" s="7" t="str">
        <f>IFERROR(__xludf.DUMMYFUNCTION("""COMPUTED_VALUE"""),"")</f>
        <v/>
      </c>
      <c r="K409" s="7" t="str">
        <f>IFERROR(__xludf.DUMMYFUNCTION("""COMPUTED_VALUE"""),"")</f>
        <v/>
      </c>
      <c r="M409" s="7" t="s">
        <v>110</v>
      </c>
      <c r="O409" s="7" t="str">
        <f>IFERROR(__xludf.DUMMYFUNCTION("""COMPUTED_VALUE"""),"")</f>
        <v/>
      </c>
      <c r="Q409" s="7" t="s">
        <v>110</v>
      </c>
      <c r="R409" s="7" t="str">
        <f>IFERROR(__xludf.DUMMYFUNCTION("""COMPUTED_VALUE"""),"")</f>
        <v/>
      </c>
    </row>
    <row r="410">
      <c r="B410" s="8"/>
      <c r="G410" s="7" t="str">
        <f>IFERROR(__xludf.DUMMYFUNCTION("""COMPUTED_VALUE"""),"")</f>
        <v/>
      </c>
      <c r="K410" s="7" t="str">
        <f>IFERROR(__xludf.DUMMYFUNCTION("""COMPUTED_VALUE"""),"")</f>
        <v/>
      </c>
      <c r="M410" s="7" t="s">
        <v>110</v>
      </c>
      <c r="O410" s="7" t="str">
        <f>IFERROR(__xludf.DUMMYFUNCTION("""COMPUTED_VALUE"""),"")</f>
        <v/>
      </c>
      <c r="Q410" s="7" t="s">
        <v>110</v>
      </c>
      <c r="R410" s="7" t="str">
        <f>IFERROR(__xludf.DUMMYFUNCTION("""COMPUTED_VALUE"""),"")</f>
        <v/>
      </c>
    </row>
    <row r="411">
      <c r="B411" s="8"/>
      <c r="G411" s="7" t="str">
        <f>IFERROR(__xludf.DUMMYFUNCTION("""COMPUTED_VALUE"""),"")</f>
        <v/>
      </c>
      <c r="K411" s="7" t="str">
        <f>IFERROR(__xludf.DUMMYFUNCTION("""COMPUTED_VALUE"""),"")</f>
        <v/>
      </c>
      <c r="M411" s="7" t="s">
        <v>110</v>
      </c>
      <c r="O411" s="7" t="str">
        <f>IFERROR(__xludf.DUMMYFUNCTION("""COMPUTED_VALUE"""),"")</f>
        <v/>
      </c>
      <c r="Q411" s="7" t="s">
        <v>110</v>
      </c>
      <c r="R411" s="7" t="str">
        <f>IFERROR(__xludf.DUMMYFUNCTION("""COMPUTED_VALUE"""),"")</f>
        <v/>
      </c>
    </row>
    <row r="412">
      <c r="B412" s="8"/>
      <c r="G412" s="7" t="str">
        <f>IFERROR(__xludf.DUMMYFUNCTION("""COMPUTED_VALUE"""),"")</f>
        <v/>
      </c>
      <c r="K412" s="7" t="str">
        <f>IFERROR(__xludf.DUMMYFUNCTION("""COMPUTED_VALUE"""),"")</f>
        <v/>
      </c>
      <c r="M412" s="7" t="s">
        <v>110</v>
      </c>
      <c r="O412" s="7" t="str">
        <f>IFERROR(__xludf.DUMMYFUNCTION("""COMPUTED_VALUE"""),"")</f>
        <v/>
      </c>
      <c r="Q412" s="7" t="s">
        <v>110</v>
      </c>
      <c r="R412" s="7" t="str">
        <f>IFERROR(__xludf.DUMMYFUNCTION("""COMPUTED_VALUE"""),"")</f>
        <v/>
      </c>
    </row>
    <row r="413">
      <c r="B413" s="8"/>
      <c r="G413" s="7" t="str">
        <f>IFERROR(__xludf.DUMMYFUNCTION("""COMPUTED_VALUE"""),"")</f>
        <v/>
      </c>
      <c r="K413" s="7" t="str">
        <f>IFERROR(__xludf.DUMMYFUNCTION("""COMPUTED_VALUE"""),"")</f>
        <v/>
      </c>
      <c r="M413" s="7" t="s">
        <v>110</v>
      </c>
      <c r="O413" s="7" t="str">
        <f>IFERROR(__xludf.DUMMYFUNCTION("""COMPUTED_VALUE"""),"")</f>
        <v/>
      </c>
      <c r="Q413" s="7" t="s">
        <v>110</v>
      </c>
      <c r="R413" s="7" t="str">
        <f>IFERROR(__xludf.DUMMYFUNCTION("""COMPUTED_VALUE"""),"")</f>
        <v/>
      </c>
    </row>
    <row r="414">
      <c r="B414" s="8"/>
      <c r="G414" s="7" t="str">
        <f>IFERROR(__xludf.DUMMYFUNCTION("""COMPUTED_VALUE"""),"")</f>
        <v/>
      </c>
      <c r="K414" s="7" t="str">
        <f>IFERROR(__xludf.DUMMYFUNCTION("""COMPUTED_VALUE"""),"")</f>
        <v/>
      </c>
      <c r="M414" s="7" t="s">
        <v>110</v>
      </c>
      <c r="O414" s="7" t="str">
        <f>IFERROR(__xludf.DUMMYFUNCTION("""COMPUTED_VALUE"""),"")</f>
        <v/>
      </c>
      <c r="Q414" s="7" t="s">
        <v>110</v>
      </c>
      <c r="R414" s="7" t="str">
        <f>IFERROR(__xludf.DUMMYFUNCTION("""COMPUTED_VALUE"""),"")</f>
        <v/>
      </c>
    </row>
    <row r="415">
      <c r="B415" s="8"/>
      <c r="G415" s="7" t="str">
        <f>IFERROR(__xludf.DUMMYFUNCTION("""COMPUTED_VALUE"""),"")</f>
        <v/>
      </c>
      <c r="K415" s="7" t="str">
        <f>IFERROR(__xludf.DUMMYFUNCTION("""COMPUTED_VALUE"""),"")</f>
        <v/>
      </c>
      <c r="M415" s="7" t="s">
        <v>110</v>
      </c>
      <c r="O415" s="7" t="str">
        <f>IFERROR(__xludf.DUMMYFUNCTION("""COMPUTED_VALUE"""),"")</f>
        <v/>
      </c>
      <c r="Q415" s="7" t="s">
        <v>110</v>
      </c>
      <c r="R415" s="7" t="str">
        <f>IFERROR(__xludf.DUMMYFUNCTION("""COMPUTED_VALUE"""),"")</f>
        <v/>
      </c>
    </row>
    <row r="416">
      <c r="B416" s="8"/>
      <c r="G416" s="7" t="str">
        <f>IFERROR(__xludf.DUMMYFUNCTION("""COMPUTED_VALUE"""),"")</f>
        <v/>
      </c>
      <c r="K416" s="7" t="str">
        <f>IFERROR(__xludf.DUMMYFUNCTION("""COMPUTED_VALUE"""),"")</f>
        <v/>
      </c>
      <c r="M416" s="7" t="s">
        <v>110</v>
      </c>
      <c r="O416" s="7" t="str">
        <f>IFERROR(__xludf.DUMMYFUNCTION("""COMPUTED_VALUE"""),"")</f>
        <v/>
      </c>
      <c r="Q416" s="7" t="s">
        <v>110</v>
      </c>
      <c r="R416" s="7" t="str">
        <f>IFERROR(__xludf.DUMMYFUNCTION("""COMPUTED_VALUE"""),"")</f>
        <v/>
      </c>
    </row>
    <row r="417">
      <c r="B417" s="8"/>
      <c r="G417" s="7" t="str">
        <f>IFERROR(__xludf.DUMMYFUNCTION("""COMPUTED_VALUE"""),"")</f>
        <v/>
      </c>
      <c r="K417" s="7" t="str">
        <f>IFERROR(__xludf.DUMMYFUNCTION("""COMPUTED_VALUE"""),"")</f>
        <v/>
      </c>
      <c r="M417" s="7" t="s">
        <v>110</v>
      </c>
      <c r="O417" s="7" t="str">
        <f>IFERROR(__xludf.DUMMYFUNCTION("""COMPUTED_VALUE"""),"")</f>
        <v/>
      </c>
      <c r="Q417" s="7" t="s">
        <v>110</v>
      </c>
      <c r="R417" s="7" t="str">
        <f>IFERROR(__xludf.DUMMYFUNCTION("""COMPUTED_VALUE"""),"")</f>
        <v/>
      </c>
    </row>
    <row r="418">
      <c r="B418" s="8"/>
      <c r="G418" s="7" t="str">
        <f>IFERROR(__xludf.DUMMYFUNCTION("""COMPUTED_VALUE"""),"")</f>
        <v/>
      </c>
      <c r="K418" s="7" t="str">
        <f>IFERROR(__xludf.DUMMYFUNCTION("""COMPUTED_VALUE"""),"")</f>
        <v/>
      </c>
      <c r="M418" s="7" t="s">
        <v>110</v>
      </c>
      <c r="O418" s="7" t="str">
        <f>IFERROR(__xludf.DUMMYFUNCTION("""COMPUTED_VALUE"""),"")</f>
        <v/>
      </c>
      <c r="Q418" s="7" t="s">
        <v>110</v>
      </c>
      <c r="R418" s="7" t="str">
        <f>IFERROR(__xludf.DUMMYFUNCTION("""COMPUTED_VALUE"""),"")</f>
        <v/>
      </c>
    </row>
    <row r="419">
      <c r="B419" s="8"/>
      <c r="G419" s="7" t="str">
        <f>IFERROR(__xludf.DUMMYFUNCTION("""COMPUTED_VALUE"""),"")</f>
        <v/>
      </c>
      <c r="K419" s="7" t="str">
        <f>IFERROR(__xludf.DUMMYFUNCTION("""COMPUTED_VALUE"""),"")</f>
        <v/>
      </c>
      <c r="M419" s="7" t="s">
        <v>110</v>
      </c>
      <c r="O419" s="7" t="str">
        <f>IFERROR(__xludf.DUMMYFUNCTION("""COMPUTED_VALUE"""),"")</f>
        <v/>
      </c>
      <c r="Q419" s="7" t="s">
        <v>110</v>
      </c>
      <c r="R419" s="7" t="str">
        <f>IFERROR(__xludf.DUMMYFUNCTION("""COMPUTED_VALUE"""),"")</f>
        <v/>
      </c>
    </row>
    <row r="420">
      <c r="B420" s="8"/>
      <c r="G420" s="7" t="str">
        <f>IFERROR(__xludf.DUMMYFUNCTION("""COMPUTED_VALUE"""),"")</f>
        <v/>
      </c>
      <c r="K420" s="7" t="str">
        <f>IFERROR(__xludf.DUMMYFUNCTION("""COMPUTED_VALUE"""),"")</f>
        <v/>
      </c>
      <c r="M420" s="7" t="s">
        <v>110</v>
      </c>
      <c r="O420" s="7" t="str">
        <f>IFERROR(__xludf.DUMMYFUNCTION("""COMPUTED_VALUE"""),"")</f>
        <v/>
      </c>
      <c r="Q420" s="7" t="s">
        <v>110</v>
      </c>
      <c r="R420" s="7" t="str">
        <f>IFERROR(__xludf.DUMMYFUNCTION("""COMPUTED_VALUE"""),"")</f>
        <v/>
      </c>
    </row>
    <row r="421">
      <c r="B421" s="8"/>
      <c r="G421" s="7" t="str">
        <f>IFERROR(__xludf.DUMMYFUNCTION("""COMPUTED_VALUE"""),"")</f>
        <v/>
      </c>
      <c r="K421" s="7" t="str">
        <f>IFERROR(__xludf.DUMMYFUNCTION("""COMPUTED_VALUE"""),"")</f>
        <v/>
      </c>
      <c r="M421" s="7" t="s">
        <v>110</v>
      </c>
      <c r="O421" s="7" t="str">
        <f>IFERROR(__xludf.DUMMYFUNCTION("""COMPUTED_VALUE"""),"")</f>
        <v/>
      </c>
      <c r="Q421" s="7" t="s">
        <v>110</v>
      </c>
      <c r="R421" s="7" t="str">
        <f>IFERROR(__xludf.DUMMYFUNCTION("""COMPUTED_VALUE"""),"")</f>
        <v/>
      </c>
    </row>
    <row r="422">
      <c r="B422" s="8"/>
      <c r="G422" s="7" t="str">
        <f>IFERROR(__xludf.DUMMYFUNCTION("""COMPUTED_VALUE"""),"")</f>
        <v/>
      </c>
      <c r="K422" s="7" t="str">
        <f>IFERROR(__xludf.DUMMYFUNCTION("""COMPUTED_VALUE"""),"")</f>
        <v/>
      </c>
      <c r="M422" s="7" t="s">
        <v>110</v>
      </c>
      <c r="O422" s="7" t="str">
        <f>IFERROR(__xludf.DUMMYFUNCTION("""COMPUTED_VALUE"""),"")</f>
        <v/>
      </c>
      <c r="Q422" s="7" t="s">
        <v>110</v>
      </c>
      <c r="R422" s="7" t="str">
        <f>IFERROR(__xludf.DUMMYFUNCTION("""COMPUTED_VALUE"""),"")</f>
        <v/>
      </c>
    </row>
    <row r="423">
      <c r="B423" s="8"/>
      <c r="G423" s="7" t="str">
        <f>IFERROR(__xludf.DUMMYFUNCTION("""COMPUTED_VALUE"""),"")</f>
        <v/>
      </c>
      <c r="K423" s="7" t="str">
        <f>IFERROR(__xludf.DUMMYFUNCTION("""COMPUTED_VALUE"""),"")</f>
        <v/>
      </c>
      <c r="M423" s="7" t="s">
        <v>110</v>
      </c>
      <c r="O423" s="7" t="str">
        <f>IFERROR(__xludf.DUMMYFUNCTION("""COMPUTED_VALUE"""),"")</f>
        <v/>
      </c>
      <c r="Q423" s="7" t="s">
        <v>110</v>
      </c>
      <c r="R423" s="7" t="str">
        <f>IFERROR(__xludf.DUMMYFUNCTION("""COMPUTED_VALUE"""),"")</f>
        <v/>
      </c>
    </row>
    <row r="424">
      <c r="B424" s="8"/>
      <c r="G424" s="7" t="str">
        <f>IFERROR(__xludf.DUMMYFUNCTION("""COMPUTED_VALUE"""),"")</f>
        <v/>
      </c>
      <c r="K424" s="7" t="str">
        <f>IFERROR(__xludf.DUMMYFUNCTION("""COMPUTED_VALUE"""),"")</f>
        <v/>
      </c>
      <c r="M424" s="7" t="s">
        <v>110</v>
      </c>
      <c r="O424" s="7" t="str">
        <f>IFERROR(__xludf.DUMMYFUNCTION("""COMPUTED_VALUE"""),"")</f>
        <v/>
      </c>
      <c r="Q424" s="7" t="s">
        <v>110</v>
      </c>
      <c r="R424" s="7" t="str">
        <f>IFERROR(__xludf.DUMMYFUNCTION("""COMPUTED_VALUE"""),"")</f>
        <v/>
      </c>
    </row>
    <row r="425">
      <c r="B425" s="8"/>
      <c r="G425" s="7" t="str">
        <f>IFERROR(__xludf.DUMMYFUNCTION("""COMPUTED_VALUE"""),"")</f>
        <v/>
      </c>
      <c r="K425" s="7" t="str">
        <f>IFERROR(__xludf.DUMMYFUNCTION("""COMPUTED_VALUE"""),"")</f>
        <v/>
      </c>
      <c r="M425" s="7" t="s">
        <v>110</v>
      </c>
      <c r="O425" s="7" t="str">
        <f>IFERROR(__xludf.DUMMYFUNCTION("""COMPUTED_VALUE"""),"")</f>
        <v/>
      </c>
      <c r="Q425" s="7" t="s">
        <v>110</v>
      </c>
      <c r="R425" s="7" t="str">
        <f>IFERROR(__xludf.DUMMYFUNCTION("""COMPUTED_VALUE"""),"")</f>
        <v/>
      </c>
    </row>
    <row r="426">
      <c r="B426" s="8"/>
      <c r="G426" s="7" t="str">
        <f>IFERROR(__xludf.DUMMYFUNCTION("""COMPUTED_VALUE"""),"")</f>
        <v/>
      </c>
      <c r="K426" s="7" t="str">
        <f>IFERROR(__xludf.DUMMYFUNCTION("""COMPUTED_VALUE"""),"")</f>
        <v/>
      </c>
      <c r="M426" s="7" t="s">
        <v>110</v>
      </c>
      <c r="O426" s="7" t="str">
        <f>IFERROR(__xludf.DUMMYFUNCTION("""COMPUTED_VALUE"""),"")</f>
        <v/>
      </c>
      <c r="Q426" s="7" t="s">
        <v>110</v>
      </c>
      <c r="R426" s="7" t="str">
        <f>IFERROR(__xludf.DUMMYFUNCTION("""COMPUTED_VALUE"""),"")</f>
        <v/>
      </c>
    </row>
    <row r="427">
      <c r="B427" s="8"/>
      <c r="G427" s="7" t="str">
        <f>IFERROR(__xludf.DUMMYFUNCTION("""COMPUTED_VALUE"""),"")</f>
        <v/>
      </c>
      <c r="K427" s="7" t="str">
        <f>IFERROR(__xludf.DUMMYFUNCTION("""COMPUTED_VALUE"""),"")</f>
        <v/>
      </c>
      <c r="M427" s="7" t="s">
        <v>110</v>
      </c>
      <c r="O427" s="7" t="str">
        <f>IFERROR(__xludf.DUMMYFUNCTION("""COMPUTED_VALUE"""),"")</f>
        <v/>
      </c>
      <c r="Q427" s="7" t="s">
        <v>110</v>
      </c>
      <c r="R427" s="7" t="str">
        <f>IFERROR(__xludf.DUMMYFUNCTION("""COMPUTED_VALUE"""),"")</f>
        <v/>
      </c>
    </row>
    <row r="428">
      <c r="B428" s="8"/>
      <c r="G428" s="7" t="str">
        <f>IFERROR(__xludf.DUMMYFUNCTION("""COMPUTED_VALUE"""),"")</f>
        <v/>
      </c>
      <c r="K428" s="7" t="str">
        <f>IFERROR(__xludf.DUMMYFUNCTION("""COMPUTED_VALUE"""),"")</f>
        <v/>
      </c>
      <c r="M428" s="7" t="s">
        <v>110</v>
      </c>
      <c r="O428" s="7" t="str">
        <f>IFERROR(__xludf.DUMMYFUNCTION("""COMPUTED_VALUE"""),"")</f>
        <v/>
      </c>
      <c r="Q428" s="7" t="s">
        <v>110</v>
      </c>
      <c r="R428" s="7" t="str">
        <f>IFERROR(__xludf.DUMMYFUNCTION("""COMPUTED_VALUE"""),"")</f>
        <v/>
      </c>
    </row>
    <row r="429">
      <c r="B429" s="8"/>
      <c r="G429" s="7" t="str">
        <f>IFERROR(__xludf.DUMMYFUNCTION("""COMPUTED_VALUE"""),"")</f>
        <v/>
      </c>
      <c r="K429" s="7" t="str">
        <f>IFERROR(__xludf.DUMMYFUNCTION("""COMPUTED_VALUE"""),"")</f>
        <v/>
      </c>
      <c r="M429" s="7" t="s">
        <v>110</v>
      </c>
      <c r="O429" s="7" t="str">
        <f>IFERROR(__xludf.DUMMYFUNCTION("""COMPUTED_VALUE"""),"")</f>
        <v/>
      </c>
      <c r="Q429" s="7" t="s">
        <v>110</v>
      </c>
      <c r="R429" s="7" t="str">
        <f>IFERROR(__xludf.DUMMYFUNCTION("""COMPUTED_VALUE"""),"")</f>
        <v/>
      </c>
    </row>
    <row r="430">
      <c r="B430" s="8"/>
      <c r="G430" s="7" t="str">
        <f>IFERROR(__xludf.DUMMYFUNCTION("""COMPUTED_VALUE"""),"")</f>
        <v/>
      </c>
      <c r="K430" s="7" t="str">
        <f>IFERROR(__xludf.DUMMYFUNCTION("""COMPUTED_VALUE"""),"")</f>
        <v/>
      </c>
      <c r="M430" s="7" t="s">
        <v>110</v>
      </c>
      <c r="O430" s="7" t="str">
        <f>IFERROR(__xludf.DUMMYFUNCTION("""COMPUTED_VALUE"""),"")</f>
        <v/>
      </c>
      <c r="Q430" s="7" t="s">
        <v>110</v>
      </c>
      <c r="R430" s="7" t="str">
        <f>IFERROR(__xludf.DUMMYFUNCTION("""COMPUTED_VALUE"""),"")</f>
        <v/>
      </c>
    </row>
    <row r="431">
      <c r="B431" s="8"/>
      <c r="G431" s="7" t="str">
        <f>IFERROR(__xludf.DUMMYFUNCTION("""COMPUTED_VALUE"""),"")</f>
        <v/>
      </c>
      <c r="K431" s="7" t="str">
        <f>IFERROR(__xludf.DUMMYFUNCTION("""COMPUTED_VALUE"""),"")</f>
        <v/>
      </c>
      <c r="M431" s="7" t="s">
        <v>110</v>
      </c>
      <c r="O431" s="7" t="str">
        <f>IFERROR(__xludf.DUMMYFUNCTION("""COMPUTED_VALUE"""),"")</f>
        <v/>
      </c>
      <c r="Q431" s="7" t="s">
        <v>110</v>
      </c>
      <c r="R431" s="7" t="str">
        <f>IFERROR(__xludf.DUMMYFUNCTION("""COMPUTED_VALUE"""),"")</f>
        <v/>
      </c>
    </row>
    <row r="432">
      <c r="B432" s="8"/>
      <c r="G432" s="7" t="str">
        <f>IFERROR(__xludf.DUMMYFUNCTION("""COMPUTED_VALUE"""),"")</f>
        <v/>
      </c>
      <c r="K432" s="7" t="str">
        <f>IFERROR(__xludf.DUMMYFUNCTION("""COMPUTED_VALUE"""),"")</f>
        <v/>
      </c>
      <c r="M432" s="7" t="s">
        <v>110</v>
      </c>
      <c r="O432" s="7" t="str">
        <f>IFERROR(__xludf.DUMMYFUNCTION("""COMPUTED_VALUE"""),"")</f>
        <v/>
      </c>
      <c r="Q432" s="7" t="s">
        <v>110</v>
      </c>
      <c r="R432" s="7" t="str">
        <f>IFERROR(__xludf.DUMMYFUNCTION("""COMPUTED_VALUE"""),"")</f>
        <v/>
      </c>
    </row>
    <row r="433">
      <c r="B433" s="8"/>
      <c r="G433" s="7" t="str">
        <f>IFERROR(__xludf.DUMMYFUNCTION("""COMPUTED_VALUE"""),"")</f>
        <v/>
      </c>
      <c r="K433" s="7" t="str">
        <f>IFERROR(__xludf.DUMMYFUNCTION("""COMPUTED_VALUE"""),"")</f>
        <v/>
      </c>
      <c r="M433" s="7" t="s">
        <v>110</v>
      </c>
      <c r="O433" s="7" t="str">
        <f>IFERROR(__xludf.DUMMYFUNCTION("""COMPUTED_VALUE"""),"")</f>
        <v/>
      </c>
      <c r="Q433" s="7" t="s">
        <v>110</v>
      </c>
      <c r="R433" s="7" t="str">
        <f>IFERROR(__xludf.DUMMYFUNCTION("""COMPUTED_VALUE"""),"")</f>
        <v/>
      </c>
    </row>
    <row r="434">
      <c r="B434" s="8"/>
      <c r="G434" s="7" t="str">
        <f>IFERROR(__xludf.DUMMYFUNCTION("""COMPUTED_VALUE"""),"")</f>
        <v/>
      </c>
      <c r="K434" s="7" t="str">
        <f>IFERROR(__xludf.DUMMYFUNCTION("""COMPUTED_VALUE"""),"")</f>
        <v/>
      </c>
      <c r="M434" s="7" t="s">
        <v>110</v>
      </c>
      <c r="O434" s="7" t="str">
        <f>IFERROR(__xludf.DUMMYFUNCTION("""COMPUTED_VALUE"""),"")</f>
        <v/>
      </c>
      <c r="Q434" s="7" t="s">
        <v>110</v>
      </c>
      <c r="R434" s="7" t="str">
        <f>IFERROR(__xludf.DUMMYFUNCTION("""COMPUTED_VALUE"""),"")</f>
        <v/>
      </c>
    </row>
    <row r="435">
      <c r="B435" s="8"/>
      <c r="G435" s="7" t="str">
        <f>IFERROR(__xludf.DUMMYFUNCTION("""COMPUTED_VALUE"""),"")</f>
        <v/>
      </c>
      <c r="K435" s="7" t="str">
        <f>IFERROR(__xludf.DUMMYFUNCTION("""COMPUTED_VALUE"""),"")</f>
        <v/>
      </c>
      <c r="M435" s="7" t="s">
        <v>110</v>
      </c>
      <c r="O435" s="7" t="str">
        <f>IFERROR(__xludf.DUMMYFUNCTION("""COMPUTED_VALUE"""),"")</f>
        <v/>
      </c>
      <c r="Q435" s="7" t="s">
        <v>110</v>
      </c>
      <c r="R435" s="7" t="str">
        <f>IFERROR(__xludf.DUMMYFUNCTION("""COMPUTED_VALUE"""),"")</f>
        <v/>
      </c>
    </row>
    <row r="436">
      <c r="B436" s="8"/>
      <c r="G436" s="7" t="str">
        <f>IFERROR(__xludf.DUMMYFUNCTION("""COMPUTED_VALUE"""),"")</f>
        <v/>
      </c>
      <c r="K436" s="7" t="str">
        <f>IFERROR(__xludf.DUMMYFUNCTION("""COMPUTED_VALUE"""),"")</f>
        <v/>
      </c>
      <c r="M436" s="7" t="s">
        <v>110</v>
      </c>
      <c r="O436" s="7" t="str">
        <f>IFERROR(__xludf.DUMMYFUNCTION("""COMPUTED_VALUE"""),"")</f>
        <v/>
      </c>
      <c r="Q436" s="7" t="s">
        <v>110</v>
      </c>
      <c r="R436" s="7" t="str">
        <f>IFERROR(__xludf.DUMMYFUNCTION("""COMPUTED_VALUE"""),"")</f>
        <v/>
      </c>
    </row>
    <row r="437">
      <c r="B437" s="8"/>
      <c r="G437" s="7" t="str">
        <f>IFERROR(__xludf.DUMMYFUNCTION("""COMPUTED_VALUE"""),"")</f>
        <v/>
      </c>
      <c r="K437" s="7" t="str">
        <f>IFERROR(__xludf.DUMMYFUNCTION("""COMPUTED_VALUE"""),"")</f>
        <v/>
      </c>
      <c r="M437" s="7" t="s">
        <v>110</v>
      </c>
      <c r="O437" s="7" t="str">
        <f>IFERROR(__xludf.DUMMYFUNCTION("""COMPUTED_VALUE"""),"")</f>
        <v/>
      </c>
      <c r="Q437" s="7" t="s">
        <v>110</v>
      </c>
      <c r="R437" s="7" t="str">
        <f>IFERROR(__xludf.DUMMYFUNCTION("""COMPUTED_VALUE"""),"")</f>
        <v/>
      </c>
    </row>
    <row r="438">
      <c r="B438" s="8"/>
      <c r="G438" s="7" t="str">
        <f>IFERROR(__xludf.DUMMYFUNCTION("""COMPUTED_VALUE"""),"")</f>
        <v/>
      </c>
      <c r="K438" s="7" t="str">
        <f>IFERROR(__xludf.DUMMYFUNCTION("""COMPUTED_VALUE"""),"")</f>
        <v/>
      </c>
      <c r="M438" s="7" t="s">
        <v>110</v>
      </c>
      <c r="O438" s="7" t="str">
        <f>IFERROR(__xludf.DUMMYFUNCTION("""COMPUTED_VALUE"""),"")</f>
        <v/>
      </c>
      <c r="Q438" s="7" t="s">
        <v>110</v>
      </c>
      <c r="R438" s="7" t="str">
        <f>IFERROR(__xludf.DUMMYFUNCTION("""COMPUTED_VALUE"""),"")</f>
        <v/>
      </c>
    </row>
    <row r="439">
      <c r="B439" s="8"/>
      <c r="G439" s="7" t="str">
        <f>IFERROR(__xludf.DUMMYFUNCTION("""COMPUTED_VALUE"""),"")</f>
        <v/>
      </c>
      <c r="K439" s="7" t="str">
        <f>IFERROR(__xludf.DUMMYFUNCTION("""COMPUTED_VALUE"""),"")</f>
        <v/>
      </c>
      <c r="M439" s="7" t="s">
        <v>110</v>
      </c>
      <c r="O439" s="7" t="str">
        <f>IFERROR(__xludf.DUMMYFUNCTION("""COMPUTED_VALUE"""),"")</f>
        <v/>
      </c>
      <c r="Q439" s="7" t="s">
        <v>110</v>
      </c>
      <c r="R439" s="7" t="str">
        <f>IFERROR(__xludf.DUMMYFUNCTION("""COMPUTED_VALUE"""),"")</f>
        <v/>
      </c>
    </row>
    <row r="440">
      <c r="B440" s="8"/>
      <c r="G440" s="7" t="str">
        <f>IFERROR(__xludf.DUMMYFUNCTION("""COMPUTED_VALUE"""),"")</f>
        <v/>
      </c>
      <c r="K440" s="7" t="str">
        <f>IFERROR(__xludf.DUMMYFUNCTION("""COMPUTED_VALUE"""),"")</f>
        <v/>
      </c>
      <c r="M440" s="7" t="s">
        <v>110</v>
      </c>
      <c r="O440" s="7" t="str">
        <f>IFERROR(__xludf.DUMMYFUNCTION("""COMPUTED_VALUE"""),"")</f>
        <v/>
      </c>
      <c r="Q440" s="7" t="s">
        <v>110</v>
      </c>
      <c r="R440" s="7" t="str">
        <f>IFERROR(__xludf.DUMMYFUNCTION("""COMPUTED_VALUE"""),"")</f>
        <v/>
      </c>
    </row>
    <row r="441">
      <c r="B441" s="8"/>
      <c r="G441" s="7" t="str">
        <f>IFERROR(__xludf.DUMMYFUNCTION("""COMPUTED_VALUE"""),"")</f>
        <v/>
      </c>
      <c r="K441" s="7" t="str">
        <f>IFERROR(__xludf.DUMMYFUNCTION("""COMPUTED_VALUE"""),"")</f>
        <v/>
      </c>
      <c r="M441" s="7" t="s">
        <v>110</v>
      </c>
      <c r="O441" s="7" t="str">
        <f>IFERROR(__xludf.DUMMYFUNCTION("""COMPUTED_VALUE"""),"")</f>
        <v/>
      </c>
      <c r="Q441" s="7" t="s">
        <v>110</v>
      </c>
      <c r="R441" s="7" t="str">
        <f>IFERROR(__xludf.DUMMYFUNCTION("""COMPUTED_VALUE"""),"")</f>
        <v/>
      </c>
    </row>
    <row r="442">
      <c r="B442" s="8"/>
      <c r="G442" s="7" t="str">
        <f>IFERROR(__xludf.DUMMYFUNCTION("""COMPUTED_VALUE"""),"")</f>
        <v/>
      </c>
      <c r="K442" s="7" t="str">
        <f>IFERROR(__xludf.DUMMYFUNCTION("""COMPUTED_VALUE"""),"")</f>
        <v/>
      </c>
      <c r="M442" s="7" t="s">
        <v>110</v>
      </c>
      <c r="O442" s="7" t="str">
        <f>IFERROR(__xludf.DUMMYFUNCTION("""COMPUTED_VALUE"""),"")</f>
        <v/>
      </c>
      <c r="Q442" s="7" t="s">
        <v>110</v>
      </c>
      <c r="R442" s="7" t="str">
        <f>IFERROR(__xludf.DUMMYFUNCTION("""COMPUTED_VALUE"""),"")</f>
        <v/>
      </c>
    </row>
    <row r="443">
      <c r="B443" s="8"/>
      <c r="G443" s="7" t="str">
        <f>IFERROR(__xludf.DUMMYFUNCTION("""COMPUTED_VALUE"""),"")</f>
        <v/>
      </c>
      <c r="K443" s="7" t="str">
        <f>IFERROR(__xludf.DUMMYFUNCTION("""COMPUTED_VALUE"""),"")</f>
        <v/>
      </c>
      <c r="M443" s="7" t="s">
        <v>110</v>
      </c>
      <c r="O443" s="7" t="str">
        <f>IFERROR(__xludf.DUMMYFUNCTION("""COMPUTED_VALUE"""),"")</f>
        <v/>
      </c>
      <c r="Q443" s="7" t="s">
        <v>110</v>
      </c>
      <c r="R443" s="7" t="str">
        <f>IFERROR(__xludf.DUMMYFUNCTION("""COMPUTED_VALUE"""),"")</f>
        <v/>
      </c>
    </row>
    <row r="444">
      <c r="B444" s="8"/>
      <c r="G444" s="7" t="str">
        <f>IFERROR(__xludf.DUMMYFUNCTION("""COMPUTED_VALUE"""),"")</f>
        <v/>
      </c>
      <c r="K444" s="7" t="str">
        <f>IFERROR(__xludf.DUMMYFUNCTION("""COMPUTED_VALUE"""),"")</f>
        <v/>
      </c>
      <c r="M444" s="7" t="s">
        <v>110</v>
      </c>
      <c r="O444" s="7" t="str">
        <f>IFERROR(__xludf.DUMMYFUNCTION("""COMPUTED_VALUE"""),"")</f>
        <v/>
      </c>
      <c r="Q444" s="7" t="s">
        <v>110</v>
      </c>
      <c r="R444" s="7" t="str">
        <f>IFERROR(__xludf.DUMMYFUNCTION("""COMPUTED_VALUE"""),"")</f>
        <v/>
      </c>
    </row>
    <row r="445">
      <c r="B445" s="8"/>
      <c r="G445" s="7" t="str">
        <f>IFERROR(__xludf.DUMMYFUNCTION("""COMPUTED_VALUE"""),"")</f>
        <v/>
      </c>
      <c r="K445" s="7" t="str">
        <f>IFERROR(__xludf.DUMMYFUNCTION("""COMPUTED_VALUE"""),"")</f>
        <v/>
      </c>
      <c r="M445" s="7" t="s">
        <v>110</v>
      </c>
      <c r="O445" s="7" t="str">
        <f>IFERROR(__xludf.DUMMYFUNCTION("""COMPUTED_VALUE"""),"")</f>
        <v/>
      </c>
      <c r="Q445" s="7" t="s">
        <v>110</v>
      </c>
      <c r="R445" s="7" t="str">
        <f>IFERROR(__xludf.DUMMYFUNCTION("""COMPUTED_VALUE"""),"")</f>
        <v/>
      </c>
    </row>
    <row r="446">
      <c r="B446" s="8"/>
      <c r="G446" s="7" t="str">
        <f>IFERROR(__xludf.DUMMYFUNCTION("""COMPUTED_VALUE"""),"")</f>
        <v/>
      </c>
      <c r="K446" s="7" t="str">
        <f>IFERROR(__xludf.DUMMYFUNCTION("""COMPUTED_VALUE"""),"")</f>
        <v/>
      </c>
      <c r="M446" s="7" t="s">
        <v>110</v>
      </c>
      <c r="O446" s="7" t="str">
        <f>IFERROR(__xludf.DUMMYFUNCTION("""COMPUTED_VALUE"""),"")</f>
        <v/>
      </c>
      <c r="Q446" s="7" t="s">
        <v>110</v>
      </c>
      <c r="R446" s="7" t="str">
        <f>IFERROR(__xludf.DUMMYFUNCTION("""COMPUTED_VALUE"""),"")</f>
        <v/>
      </c>
    </row>
    <row r="447">
      <c r="B447" s="8"/>
      <c r="G447" s="7" t="str">
        <f>IFERROR(__xludf.DUMMYFUNCTION("""COMPUTED_VALUE"""),"")</f>
        <v/>
      </c>
      <c r="K447" s="7" t="str">
        <f>IFERROR(__xludf.DUMMYFUNCTION("""COMPUTED_VALUE"""),"")</f>
        <v/>
      </c>
      <c r="M447" s="7" t="s">
        <v>110</v>
      </c>
      <c r="O447" s="7" t="str">
        <f>IFERROR(__xludf.DUMMYFUNCTION("""COMPUTED_VALUE"""),"")</f>
        <v/>
      </c>
      <c r="Q447" s="7" t="s">
        <v>110</v>
      </c>
      <c r="R447" s="7" t="str">
        <f>IFERROR(__xludf.DUMMYFUNCTION("""COMPUTED_VALUE"""),"")</f>
        <v/>
      </c>
    </row>
    <row r="448">
      <c r="B448" s="8"/>
      <c r="G448" s="7" t="str">
        <f>IFERROR(__xludf.DUMMYFUNCTION("""COMPUTED_VALUE"""),"")</f>
        <v/>
      </c>
      <c r="K448" s="7" t="str">
        <f>IFERROR(__xludf.DUMMYFUNCTION("""COMPUTED_VALUE"""),"")</f>
        <v/>
      </c>
      <c r="M448" s="7" t="s">
        <v>110</v>
      </c>
      <c r="O448" s="7" t="str">
        <f>IFERROR(__xludf.DUMMYFUNCTION("""COMPUTED_VALUE"""),"")</f>
        <v/>
      </c>
      <c r="Q448" s="7" t="s">
        <v>110</v>
      </c>
      <c r="R448" s="7" t="str">
        <f>IFERROR(__xludf.DUMMYFUNCTION("""COMPUTED_VALUE"""),"")</f>
        <v/>
      </c>
    </row>
    <row r="449">
      <c r="B449" s="8"/>
      <c r="G449" s="7" t="str">
        <f>IFERROR(__xludf.DUMMYFUNCTION("""COMPUTED_VALUE"""),"")</f>
        <v/>
      </c>
      <c r="K449" s="7" t="str">
        <f>IFERROR(__xludf.DUMMYFUNCTION("""COMPUTED_VALUE"""),"")</f>
        <v/>
      </c>
      <c r="M449" s="7" t="s">
        <v>110</v>
      </c>
      <c r="O449" s="7" t="str">
        <f>IFERROR(__xludf.DUMMYFUNCTION("""COMPUTED_VALUE"""),"")</f>
        <v/>
      </c>
      <c r="Q449" s="7" t="s">
        <v>110</v>
      </c>
      <c r="R449" s="7" t="str">
        <f>IFERROR(__xludf.DUMMYFUNCTION("""COMPUTED_VALUE"""),"")</f>
        <v/>
      </c>
    </row>
    <row r="450">
      <c r="B450" s="8"/>
      <c r="G450" s="7" t="str">
        <f>IFERROR(__xludf.DUMMYFUNCTION("""COMPUTED_VALUE"""),"")</f>
        <v/>
      </c>
      <c r="K450" s="7" t="str">
        <f>IFERROR(__xludf.DUMMYFUNCTION("""COMPUTED_VALUE"""),"")</f>
        <v/>
      </c>
      <c r="M450" s="7" t="s">
        <v>110</v>
      </c>
      <c r="O450" s="7" t="str">
        <f>IFERROR(__xludf.DUMMYFUNCTION("""COMPUTED_VALUE"""),"")</f>
        <v/>
      </c>
      <c r="Q450" s="7" t="s">
        <v>110</v>
      </c>
      <c r="R450" s="7" t="str">
        <f>IFERROR(__xludf.DUMMYFUNCTION("""COMPUTED_VALUE"""),"")</f>
        <v/>
      </c>
    </row>
    <row r="451">
      <c r="B451" s="8"/>
      <c r="G451" s="7" t="str">
        <f>IFERROR(__xludf.DUMMYFUNCTION("""COMPUTED_VALUE"""),"")</f>
        <v/>
      </c>
      <c r="K451" s="7" t="str">
        <f>IFERROR(__xludf.DUMMYFUNCTION("""COMPUTED_VALUE"""),"")</f>
        <v/>
      </c>
      <c r="M451" s="7" t="s">
        <v>110</v>
      </c>
      <c r="O451" s="7" t="str">
        <f>IFERROR(__xludf.DUMMYFUNCTION("""COMPUTED_VALUE"""),"")</f>
        <v/>
      </c>
      <c r="Q451" s="7" t="s">
        <v>110</v>
      </c>
      <c r="R451" s="7" t="str">
        <f>IFERROR(__xludf.DUMMYFUNCTION("""COMPUTED_VALUE"""),"")</f>
        <v/>
      </c>
    </row>
    <row r="452">
      <c r="B452" s="8"/>
      <c r="G452" s="7" t="str">
        <f>IFERROR(__xludf.DUMMYFUNCTION("""COMPUTED_VALUE"""),"")</f>
        <v/>
      </c>
      <c r="K452" s="7" t="str">
        <f>IFERROR(__xludf.DUMMYFUNCTION("""COMPUTED_VALUE"""),"")</f>
        <v/>
      </c>
      <c r="M452" s="7" t="s">
        <v>110</v>
      </c>
      <c r="O452" s="7" t="str">
        <f>IFERROR(__xludf.DUMMYFUNCTION("""COMPUTED_VALUE"""),"")</f>
        <v/>
      </c>
      <c r="Q452" s="7" t="s">
        <v>110</v>
      </c>
      <c r="R452" s="7" t="str">
        <f>IFERROR(__xludf.DUMMYFUNCTION("""COMPUTED_VALUE"""),"")</f>
        <v/>
      </c>
    </row>
    <row r="453">
      <c r="B453" s="8"/>
      <c r="G453" s="7" t="str">
        <f>IFERROR(__xludf.DUMMYFUNCTION("""COMPUTED_VALUE"""),"")</f>
        <v/>
      </c>
      <c r="K453" s="7" t="str">
        <f>IFERROR(__xludf.DUMMYFUNCTION("""COMPUTED_VALUE"""),"")</f>
        <v/>
      </c>
      <c r="M453" s="7" t="s">
        <v>110</v>
      </c>
      <c r="O453" s="7" t="str">
        <f>IFERROR(__xludf.DUMMYFUNCTION("""COMPUTED_VALUE"""),"")</f>
        <v/>
      </c>
      <c r="Q453" s="7" t="s">
        <v>110</v>
      </c>
      <c r="R453" s="7" t="str">
        <f>IFERROR(__xludf.DUMMYFUNCTION("""COMPUTED_VALUE"""),"")</f>
        <v/>
      </c>
    </row>
    <row r="454">
      <c r="B454" s="8"/>
      <c r="G454" s="7" t="str">
        <f>IFERROR(__xludf.DUMMYFUNCTION("""COMPUTED_VALUE"""),"")</f>
        <v/>
      </c>
      <c r="K454" s="7" t="str">
        <f>IFERROR(__xludf.DUMMYFUNCTION("""COMPUTED_VALUE"""),"")</f>
        <v/>
      </c>
      <c r="M454" s="7" t="s">
        <v>110</v>
      </c>
      <c r="O454" s="7" t="str">
        <f>IFERROR(__xludf.DUMMYFUNCTION("""COMPUTED_VALUE"""),"")</f>
        <v/>
      </c>
      <c r="Q454" s="7" t="s">
        <v>110</v>
      </c>
      <c r="R454" s="7" t="str">
        <f>IFERROR(__xludf.DUMMYFUNCTION("""COMPUTED_VALUE"""),"")</f>
        <v/>
      </c>
    </row>
    <row r="455">
      <c r="B455" s="8"/>
      <c r="G455" s="7" t="str">
        <f>IFERROR(__xludf.DUMMYFUNCTION("""COMPUTED_VALUE"""),"")</f>
        <v/>
      </c>
      <c r="K455" s="7" t="str">
        <f>IFERROR(__xludf.DUMMYFUNCTION("""COMPUTED_VALUE"""),"")</f>
        <v/>
      </c>
      <c r="M455" s="7" t="s">
        <v>110</v>
      </c>
      <c r="O455" s="7" t="str">
        <f>IFERROR(__xludf.DUMMYFUNCTION("""COMPUTED_VALUE"""),"")</f>
        <v/>
      </c>
      <c r="Q455" s="7" t="s">
        <v>110</v>
      </c>
      <c r="R455" s="7" t="str">
        <f>IFERROR(__xludf.DUMMYFUNCTION("""COMPUTED_VALUE"""),"")</f>
        <v/>
      </c>
    </row>
    <row r="456">
      <c r="B456" s="8"/>
      <c r="G456" s="7" t="str">
        <f>IFERROR(__xludf.DUMMYFUNCTION("""COMPUTED_VALUE"""),"")</f>
        <v/>
      </c>
      <c r="K456" s="7" t="str">
        <f>IFERROR(__xludf.DUMMYFUNCTION("""COMPUTED_VALUE"""),"")</f>
        <v/>
      </c>
      <c r="M456" s="7" t="s">
        <v>110</v>
      </c>
      <c r="O456" s="7" t="str">
        <f>IFERROR(__xludf.DUMMYFUNCTION("""COMPUTED_VALUE"""),"")</f>
        <v/>
      </c>
      <c r="Q456" s="7" t="s">
        <v>110</v>
      </c>
      <c r="R456" s="7" t="str">
        <f>IFERROR(__xludf.DUMMYFUNCTION("""COMPUTED_VALUE"""),"")</f>
        <v/>
      </c>
    </row>
    <row r="457">
      <c r="B457" s="8"/>
      <c r="G457" s="7" t="str">
        <f>IFERROR(__xludf.DUMMYFUNCTION("""COMPUTED_VALUE"""),"")</f>
        <v/>
      </c>
      <c r="K457" s="7" t="str">
        <f>IFERROR(__xludf.DUMMYFUNCTION("""COMPUTED_VALUE"""),"")</f>
        <v/>
      </c>
      <c r="M457" s="7" t="s">
        <v>110</v>
      </c>
      <c r="O457" s="7" t="str">
        <f>IFERROR(__xludf.DUMMYFUNCTION("""COMPUTED_VALUE"""),"")</f>
        <v/>
      </c>
      <c r="Q457" s="7" t="s">
        <v>110</v>
      </c>
      <c r="R457" s="7" t="str">
        <f>IFERROR(__xludf.DUMMYFUNCTION("""COMPUTED_VALUE"""),"")</f>
        <v/>
      </c>
    </row>
    <row r="458">
      <c r="B458" s="8"/>
      <c r="G458" s="7" t="str">
        <f>IFERROR(__xludf.DUMMYFUNCTION("""COMPUTED_VALUE"""),"")</f>
        <v/>
      </c>
      <c r="K458" s="7" t="str">
        <f>IFERROR(__xludf.DUMMYFUNCTION("""COMPUTED_VALUE"""),"")</f>
        <v/>
      </c>
      <c r="M458" s="7" t="s">
        <v>110</v>
      </c>
      <c r="O458" s="7" t="str">
        <f>IFERROR(__xludf.DUMMYFUNCTION("""COMPUTED_VALUE"""),"")</f>
        <v/>
      </c>
      <c r="Q458" s="7" t="s">
        <v>110</v>
      </c>
      <c r="R458" s="7" t="str">
        <f>IFERROR(__xludf.DUMMYFUNCTION("""COMPUTED_VALUE"""),"")</f>
        <v/>
      </c>
    </row>
    <row r="459">
      <c r="B459" s="8"/>
      <c r="G459" s="7" t="str">
        <f>IFERROR(__xludf.DUMMYFUNCTION("""COMPUTED_VALUE"""),"")</f>
        <v/>
      </c>
      <c r="K459" s="7" t="str">
        <f>IFERROR(__xludf.DUMMYFUNCTION("""COMPUTED_VALUE"""),"")</f>
        <v/>
      </c>
      <c r="M459" s="7" t="s">
        <v>110</v>
      </c>
      <c r="O459" s="7" t="str">
        <f>IFERROR(__xludf.DUMMYFUNCTION("""COMPUTED_VALUE"""),"")</f>
        <v/>
      </c>
      <c r="Q459" s="7" t="s">
        <v>110</v>
      </c>
      <c r="R459" s="7" t="str">
        <f>IFERROR(__xludf.DUMMYFUNCTION("""COMPUTED_VALUE"""),"")</f>
        <v/>
      </c>
    </row>
    <row r="460">
      <c r="B460" s="8"/>
      <c r="G460" s="7" t="str">
        <f>IFERROR(__xludf.DUMMYFUNCTION("""COMPUTED_VALUE"""),"")</f>
        <v/>
      </c>
      <c r="K460" s="7" t="str">
        <f>IFERROR(__xludf.DUMMYFUNCTION("""COMPUTED_VALUE"""),"")</f>
        <v/>
      </c>
      <c r="M460" s="7" t="s">
        <v>110</v>
      </c>
      <c r="O460" s="7" t="str">
        <f>IFERROR(__xludf.DUMMYFUNCTION("""COMPUTED_VALUE"""),"")</f>
        <v/>
      </c>
      <c r="Q460" s="7" t="s">
        <v>110</v>
      </c>
      <c r="R460" s="7" t="str">
        <f>IFERROR(__xludf.DUMMYFUNCTION("""COMPUTED_VALUE"""),"")</f>
        <v/>
      </c>
    </row>
    <row r="461">
      <c r="B461" s="8"/>
      <c r="G461" s="7" t="str">
        <f>IFERROR(__xludf.DUMMYFUNCTION("""COMPUTED_VALUE"""),"")</f>
        <v/>
      </c>
      <c r="K461" s="7" t="str">
        <f>IFERROR(__xludf.DUMMYFUNCTION("""COMPUTED_VALUE"""),"")</f>
        <v/>
      </c>
      <c r="M461" s="7" t="s">
        <v>110</v>
      </c>
      <c r="O461" s="7" t="str">
        <f>IFERROR(__xludf.DUMMYFUNCTION("""COMPUTED_VALUE"""),"")</f>
        <v/>
      </c>
      <c r="Q461" s="7" t="s">
        <v>110</v>
      </c>
      <c r="R461" s="7" t="str">
        <f>IFERROR(__xludf.DUMMYFUNCTION("""COMPUTED_VALUE"""),"")</f>
        <v/>
      </c>
    </row>
    <row r="462">
      <c r="B462" s="8"/>
      <c r="G462" s="7" t="str">
        <f>IFERROR(__xludf.DUMMYFUNCTION("""COMPUTED_VALUE"""),"")</f>
        <v/>
      </c>
      <c r="K462" s="7" t="str">
        <f>IFERROR(__xludf.DUMMYFUNCTION("""COMPUTED_VALUE"""),"")</f>
        <v/>
      </c>
      <c r="M462" s="7" t="s">
        <v>110</v>
      </c>
      <c r="O462" s="7" t="str">
        <f>IFERROR(__xludf.DUMMYFUNCTION("""COMPUTED_VALUE"""),"")</f>
        <v/>
      </c>
      <c r="Q462" s="7" t="s">
        <v>110</v>
      </c>
      <c r="R462" s="7" t="str">
        <f>IFERROR(__xludf.DUMMYFUNCTION("""COMPUTED_VALUE"""),"")</f>
        <v/>
      </c>
    </row>
    <row r="463">
      <c r="B463" s="8"/>
      <c r="G463" s="7" t="str">
        <f>IFERROR(__xludf.DUMMYFUNCTION("""COMPUTED_VALUE"""),"")</f>
        <v/>
      </c>
      <c r="K463" s="7" t="str">
        <f>IFERROR(__xludf.DUMMYFUNCTION("""COMPUTED_VALUE"""),"")</f>
        <v/>
      </c>
      <c r="M463" s="7" t="s">
        <v>110</v>
      </c>
      <c r="O463" s="7" t="str">
        <f>IFERROR(__xludf.DUMMYFUNCTION("""COMPUTED_VALUE"""),"")</f>
        <v/>
      </c>
      <c r="Q463" s="7" t="s">
        <v>110</v>
      </c>
      <c r="R463" s="7" t="str">
        <f>IFERROR(__xludf.DUMMYFUNCTION("""COMPUTED_VALUE"""),"")</f>
        <v/>
      </c>
    </row>
    <row r="464">
      <c r="B464" s="8"/>
      <c r="G464" s="7" t="str">
        <f>IFERROR(__xludf.DUMMYFUNCTION("""COMPUTED_VALUE"""),"")</f>
        <v/>
      </c>
      <c r="K464" s="7" t="str">
        <f>IFERROR(__xludf.DUMMYFUNCTION("""COMPUTED_VALUE"""),"")</f>
        <v/>
      </c>
      <c r="M464" s="7" t="s">
        <v>110</v>
      </c>
      <c r="O464" s="7" t="str">
        <f>IFERROR(__xludf.DUMMYFUNCTION("""COMPUTED_VALUE"""),"")</f>
        <v/>
      </c>
      <c r="Q464" s="7" t="s">
        <v>110</v>
      </c>
      <c r="R464" s="7" t="str">
        <f>IFERROR(__xludf.DUMMYFUNCTION("""COMPUTED_VALUE"""),"")</f>
        <v/>
      </c>
    </row>
    <row r="465">
      <c r="B465" s="8"/>
      <c r="G465" s="7" t="str">
        <f>IFERROR(__xludf.DUMMYFUNCTION("""COMPUTED_VALUE"""),"")</f>
        <v/>
      </c>
      <c r="K465" s="7" t="str">
        <f>IFERROR(__xludf.DUMMYFUNCTION("""COMPUTED_VALUE"""),"")</f>
        <v/>
      </c>
      <c r="M465" s="7" t="s">
        <v>110</v>
      </c>
      <c r="O465" s="7" t="str">
        <f>IFERROR(__xludf.DUMMYFUNCTION("""COMPUTED_VALUE"""),"")</f>
        <v/>
      </c>
      <c r="Q465" s="7" t="s">
        <v>110</v>
      </c>
      <c r="R465" s="7" t="str">
        <f>IFERROR(__xludf.DUMMYFUNCTION("""COMPUTED_VALUE"""),"")</f>
        <v/>
      </c>
    </row>
    <row r="466">
      <c r="B466" s="8"/>
      <c r="G466" s="7" t="str">
        <f>IFERROR(__xludf.DUMMYFUNCTION("""COMPUTED_VALUE"""),"")</f>
        <v/>
      </c>
      <c r="K466" s="7" t="str">
        <f>IFERROR(__xludf.DUMMYFUNCTION("""COMPUTED_VALUE"""),"")</f>
        <v/>
      </c>
      <c r="M466" s="7" t="s">
        <v>110</v>
      </c>
      <c r="O466" s="7" t="str">
        <f>IFERROR(__xludf.DUMMYFUNCTION("""COMPUTED_VALUE"""),"")</f>
        <v/>
      </c>
      <c r="Q466" s="7" t="s">
        <v>110</v>
      </c>
      <c r="R466" s="7" t="str">
        <f>IFERROR(__xludf.DUMMYFUNCTION("""COMPUTED_VALUE"""),"")</f>
        <v/>
      </c>
    </row>
    <row r="467">
      <c r="B467" s="8"/>
      <c r="G467" s="7" t="str">
        <f>IFERROR(__xludf.DUMMYFUNCTION("""COMPUTED_VALUE"""),"")</f>
        <v/>
      </c>
      <c r="K467" s="7" t="str">
        <f>IFERROR(__xludf.DUMMYFUNCTION("""COMPUTED_VALUE"""),"")</f>
        <v/>
      </c>
      <c r="M467" s="7" t="s">
        <v>110</v>
      </c>
      <c r="O467" s="7" t="str">
        <f>IFERROR(__xludf.DUMMYFUNCTION("""COMPUTED_VALUE"""),"")</f>
        <v/>
      </c>
      <c r="Q467" s="7" t="s">
        <v>110</v>
      </c>
      <c r="R467" s="7" t="str">
        <f>IFERROR(__xludf.DUMMYFUNCTION("""COMPUTED_VALUE"""),"")</f>
        <v/>
      </c>
    </row>
    <row r="468">
      <c r="B468" s="8"/>
      <c r="G468" s="7" t="str">
        <f>IFERROR(__xludf.DUMMYFUNCTION("""COMPUTED_VALUE"""),"")</f>
        <v/>
      </c>
      <c r="K468" s="7" t="str">
        <f>IFERROR(__xludf.DUMMYFUNCTION("""COMPUTED_VALUE"""),"")</f>
        <v/>
      </c>
      <c r="M468" s="7" t="s">
        <v>110</v>
      </c>
      <c r="O468" s="7" t="str">
        <f>IFERROR(__xludf.DUMMYFUNCTION("""COMPUTED_VALUE"""),"")</f>
        <v/>
      </c>
      <c r="Q468" s="7" t="s">
        <v>110</v>
      </c>
      <c r="R468" s="7" t="str">
        <f>IFERROR(__xludf.DUMMYFUNCTION("""COMPUTED_VALUE"""),"")</f>
        <v/>
      </c>
    </row>
    <row r="469">
      <c r="B469" s="8"/>
      <c r="G469" s="7" t="str">
        <f>IFERROR(__xludf.DUMMYFUNCTION("""COMPUTED_VALUE"""),"")</f>
        <v/>
      </c>
      <c r="K469" s="7" t="str">
        <f>IFERROR(__xludf.DUMMYFUNCTION("""COMPUTED_VALUE"""),"")</f>
        <v/>
      </c>
      <c r="M469" s="7" t="s">
        <v>110</v>
      </c>
      <c r="O469" s="7" t="str">
        <f>IFERROR(__xludf.DUMMYFUNCTION("""COMPUTED_VALUE"""),"")</f>
        <v/>
      </c>
      <c r="Q469" s="7" t="s">
        <v>110</v>
      </c>
      <c r="R469" s="7" t="str">
        <f>IFERROR(__xludf.DUMMYFUNCTION("""COMPUTED_VALUE"""),"")</f>
        <v/>
      </c>
    </row>
    <row r="470">
      <c r="B470" s="8"/>
      <c r="G470" s="7" t="str">
        <f>IFERROR(__xludf.DUMMYFUNCTION("""COMPUTED_VALUE"""),"")</f>
        <v/>
      </c>
      <c r="K470" s="7" t="str">
        <f>IFERROR(__xludf.DUMMYFUNCTION("""COMPUTED_VALUE"""),"")</f>
        <v/>
      </c>
      <c r="M470" s="7" t="s">
        <v>110</v>
      </c>
      <c r="O470" s="7" t="str">
        <f>IFERROR(__xludf.DUMMYFUNCTION("""COMPUTED_VALUE"""),"")</f>
        <v/>
      </c>
      <c r="Q470" s="7" t="s">
        <v>110</v>
      </c>
      <c r="R470" s="7" t="str">
        <f>IFERROR(__xludf.DUMMYFUNCTION("""COMPUTED_VALUE"""),"")</f>
        <v/>
      </c>
    </row>
    <row r="471">
      <c r="B471" s="8"/>
      <c r="G471" s="7" t="str">
        <f>IFERROR(__xludf.DUMMYFUNCTION("""COMPUTED_VALUE"""),"")</f>
        <v/>
      </c>
      <c r="K471" s="7" t="str">
        <f>IFERROR(__xludf.DUMMYFUNCTION("""COMPUTED_VALUE"""),"")</f>
        <v/>
      </c>
      <c r="M471" s="7" t="s">
        <v>110</v>
      </c>
      <c r="O471" s="7" t="str">
        <f>IFERROR(__xludf.DUMMYFUNCTION("""COMPUTED_VALUE"""),"")</f>
        <v/>
      </c>
      <c r="Q471" s="7" t="s">
        <v>110</v>
      </c>
      <c r="R471" s="7" t="str">
        <f>IFERROR(__xludf.DUMMYFUNCTION("""COMPUTED_VALUE"""),"")</f>
        <v/>
      </c>
    </row>
    <row r="472">
      <c r="B472" s="8"/>
      <c r="G472" s="7" t="str">
        <f>IFERROR(__xludf.DUMMYFUNCTION("""COMPUTED_VALUE"""),"")</f>
        <v/>
      </c>
      <c r="K472" s="7" t="str">
        <f>IFERROR(__xludf.DUMMYFUNCTION("""COMPUTED_VALUE"""),"")</f>
        <v/>
      </c>
      <c r="M472" s="7" t="s">
        <v>110</v>
      </c>
      <c r="O472" s="7" t="str">
        <f>IFERROR(__xludf.DUMMYFUNCTION("""COMPUTED_VALUE"""),"")</f>
        <v/>
      </c>
      <c r="Q472" s="7" t="s">
        <v>110</v>
      </c>
      <c r="R472" s="7" t="str">
        <f>IFERROR(__xludf.DUMMYFUNCTION("""COMPUTED_VALUE"""),"")</f>
        <v/>
      </c>
    </row>
    <row r="473">
      <c r="B473" s="8"/>
      <c r="G473" s="7" t="str">
        <f>IFERROR(__xludf.DUMMYFUNCTION("""COMPUTED_VALUE"""),"")</f>
        <v/>
      </c>
      <c r="K473" s="7" t="str">
        <f>IFERROR(__xludf.DUMMYFUNCTION("""COMPUTED_VALUE"""),"")</f>
        <v/>
      </c>
      <c r="M473" s="7" t="s">
        <v>110</v>
      </c>
      <c r="O473" s="7" t="str">
        <f>IFERROR(__xludf.DUMMYFUNCTION("""COMPUTED_VALUE"""),"")</f>
        <v/>
      </c>
      <c r="Q473" s="7" t="s">
        <v>110</v>
      </c>
      <c r="R473" s="7" t="str">
        <f>IFERROR(__xludf.DUMMYFUNCTION("""COMPUTED_VALUE"""),"")</f>
        <v/>
      </c>
    </row>
    <row r="474">
      <c r="B474" s="8"/>
      <c r="G474" s="7" t="str">
        <f>IFERROR(__xludf.DUMMYFUNCTION("""COMPUTED_VALUE"""),"")</f>
        <v/>
      </c>
      <c r="K474" s="7" t="str">
        <f>IFERROR(__xludf.DUMMYFUNCTION("""COMPUTED_VALUE"""),"")</f>
        <v/>
      </c>
      <c r="M474" s="7" t="s">
        <v>110</v>
      </c>
      <c r="O474" s="7" t="str">
        <f>IFERROR(__xludf.DUMMYFUNCTION("""COMPUTED_VALUE"""),"")</f>
        <v/>
      </c>
      <c r="Q474" s="7" t="s">
        <v>110</v>
      </c>
      <c r="R474" s="7" t="str">
        <f>IFERROR(__xludf.DUMMYFUNCTION("""COMPUTED_VALUE"""),"")</f>
        <v/>
      </c>
    </row>
    <row r="475">
      <c r="B475" s="8"/>
      <c r="G475" s="7" t="str">
        <f>IFERROR(__xludf.DUMMYFUNCTION("""COMPUTED_VALUE"""),"")</f>
        <v/>
      </c>
      <c r="K475" s="7" t="str">
        <f>IFERROR(__xludf.DUMMYFUNCTION("""COMPUTED_VALUE"""),"")</f>
        <v/>
      </c>
      <c r="M475" s="7" t="s">
        <v>110</v>
      </c>
      <c r="O475" s="7" t="str">
        <f>IFERROR(__xludf.DUMMYFUNCTION("""COMPUTED_VALUE"""),"")</f>
        <v/>
      </c>
      <c r="Q475" s="7" t="s">
        <v>110</v>
      </c>
      <c r="R475" s="7" t="str">
        <f>IFERROR(__xludf.DUMMYFUNCTION("""COMPUTED_VALUE"""),"")</f>
        <v/>
      </c>
    </row>
    <row r="476">
      <c r="B476" s="8"/>
      <c r="G476" s="7" t="str">
        <f>IFERROR(__xludf.DUMMYFUNCTION("""COMPUTED_VALUE"""),"")</f>
        <v/>
      </c>
      <c r="K476" s="7" t="str">
        <f>IFERROR(__xludf.DUMMYFUNCTION("""COMPUTED_VALUE"""),"")</f>
        <v/>
      </c>
      <c r="M476" s="7" t="s">
        <v>110</v>
      </c>
      <c r="O476" s="7" t="str">
        <f>IFERROR(__xludf.DUMMYFUNCTION("""COMPUTED_VALUE"""),"")</f>
        <v/>
      </c>
      <c r="Q476" s="7" t="s">
        <v>110</v>
      </c>
      <c r="R476" s="7" t="str">
        <f>IFERROR(__xludf.DUMMYFUNCTION("""COMPUTED_VALUE"""),"")</f>
        <v/>
      </c>
    </row>
    <row r="477">
      <c r="B477" s="8"/>
      <c r="G477" s="7" t="str">
        <f>IFERROR(__xludf.DUMMYFUNCTION("""COMPUTED_VALUE"""),"")</f>
        <v/>
      </c>
      <c r="K477" s="7" t="str">
        <f>IFERROR(__xludf.DUMMYFUNCTION("""COMPUTED_VALUE"""),"")</f>
        <v/>
      </c>
      <c r="M477" s="7" t="s">
        <v>110</v>
      </c>
      <c r="O477" s="7" t="str">
        <f>IFERROR(__xludf.DUMMYFUNCTION("""COMPUTED_VALUE"""),"")</f>
        <v/>
      </c>
      <c r="Q477" s="7" t="s">
        <v>110</v>
      </c>
      <c r="R477" s="7" t="str">
        <f>IFERROR(__xludf.DUMMYFUNCTION("""COMPUTED_VALUE"""),"")</f>
        <v/>
      </c>
    </row>
    <row r="478">
      <c r="B478" s="8"/>
      <c r="G478" s="7" t="str">
        <f>IFERROR(__xludf.DUMMYFUNCTION("""COMPUTED_VALUE"""),"")</f>
        <v/>
      </c>
      <c r="K478" s="7" t="str">
        <f>IFERROR(__xludf.DUMMYFUNCTION("""COMPUTED_VALUE"""),"")</f>
        <v/>
      </c>
      <c r="M478" s="7" t="s">
        <v>110</v>
      </c>
      <c r="O478" s="7" t="str">
        <f>IFERROR(__xludf.DUMMYFUNCTION("""COMPUTED_VALUE"""),"")</f>
        <v/>
      </c>
      <c r="Q478" s="7" t="s">
        <v>110</v>
      </c>
      <c r="R478" s="7" t="str">
        <f>IFERROR(__xludf.DUMMYFUNCTION("""COMPUTED_VALUE"""),"")</f>
        <v/>
      </c>
    </row>
    <row r="479">
      <c r="B479" s="8"/>
      <c r="G479" s="7" t="str">
        <f>IFERROR(__xludf.DUMMYFUNCTION("""COMPUTED_VALUE"""),"")</f>
        <v/>
      </c>
      <c r="K479" s="7" t="str">
        <f>IFERROR(__xludf.DUMMYFUNCTION("""COMPUTED_VALUE"""),"")</f>
        <v/>
      </c>
      <c r="M479" s="7" t="s">
        <v>110</v>
      </c>
      <c r="O479" s="7" t="str">
        <f>IFERROR(__xludf.DUMMYFUNCTION("""COMPUTED_VALUE"""),"")</f>
        <v/>
      </c>
      <c r="Q479" s="7" t="s">
        <v>110</v>
      </c>
      <c r="R479" s="7" t="str">
        <f>IFERROR(__xludf.DUMMYFUNCTION("""COMPUTED_VALUE"""),"")</f>
        <v/>
      </c>
    </row>
    <row r="480">
      <c r="B480" s="8"/>
      <c r="G480" s="7" t="str">
        <f>IFERROR(__xludf.DUMMYFUNCTION("""COMPUTED_VALUE"""),"")</f>
        <v/>
      </c>
      <c r="K480" s="7" t="str">
        <f>IFERROR(__xludf.DUMMYFUNCTION("""COMPUTED_VALUE"""),"")</f>
        <v/>
      </c>
      <c r="M480" s="7" t="s">
        <v>110</v>
      </c>
      <c r="O480" s="7" t="str">
        <f>IFERROR(__xludf.DUMMYFUNCTION("""COMPUTED_VALUE"""),"")</f>
        <v/>
      </c>
      <c r="Q480" s="7" t="s">
        <v>110</v>
      </c>
      <c r="R480" s="7" t="str">
        <f>IFERROR(__xludf.DUMMYFUNCTION("""COMPUTED_VALUE"""),"")</f>
        <v/>
      </c>
    </row>
    <row r="481">
      <c r="B481" s="8"/>
      <c r="G481" s="7" t="str">
        <f>IFERROR(__xludf.DUMMYFUNCTION("""COMPUTED_VALUE"""),"")</f>
        <v/>
      </c>
      <c r="K481" s="7" t="str">
        <f>IFERROR(__xludf.DUMMYFUNCTION("""COMPUTED_VALUE"""),"")</f>
        <v/>
      </c>
      <c r="M481" s="7" t="s">
        <v>110</v>
      </c>
      <c r="O481" s="7" t="str">
        <f>IFERROR(__xludf.DUMMYFUNCTION("""COMPUTED_VALUE"""),"")</f>
        <v/>
      </c>
      <c r="Q481" s="7" t="s">
        <v>110</v>
      </c>
      <c r="R481" s="7" t="str">
        <f>IFERROR(__xludf.DUMMYFUNCTION("""COMPUTED_VALUE"""),"")</f>
        <v/>
      </c>
    </row>
    <row r="482">
      <c r="B482" s="8"/>
      <c r="G482" s="7" t="str">
        <f>IFERROR(__xludf.DUMMYFUNCTION("""COMPUTED_VALUE"""),"")</f>
        <v/>
      </c>
      <c r="K482" s="7" t="str">
        <f>IFERROR(__xludf.DUMMYFUNCTION("""COMPUTED_VALUE"""),"")</f>
        <v/>
      </c>
      <c r="M482" s="7" t="s">
        <v>110</v>
      </c>
      <c r="O482" s="7" t="str">
        <f>IFERROR(__xludf.DUMMYFUNCTION("""COMPUTED_VALUE"""),"")</f>
        <v/>
      </c>
      <c r="Q482" s="7" t="s">
        <v>110</v>
      </c>
      <c r="R482" s="7" t="str">
        <f>IFERROR(__xludf.DUMMYFUNCTION("""COMPUTED_VALUE"""),"")</f>
        <v/>
      </c>
    </row>
    <row r="483">
      <c r="B483" s="8"/>
      <c r="G483" s="7" t="str">
        <f>IFERROR(__xludf.DUMMYFUNCTION("""COMPUTED_VALUE"""),"")</f>
        <v/>
      </c>
      <c r="K483" s="7" t="str">
        <f>IFERROR(__xludf.DUMMYFUNCTION("""COMPUTED_VALUE"""),"")</f>
        <v/>
      </c>
      <c r="M483" s="7" t="s">
        <v>110</v>
      </c>
      <c r="O483" s="7" t="str">
        <f>IFERROR(__xludf.DUMMYFUNCTION("""COMPUTED_VALUE"""),"")</f>
        <v/>
      </c>
      <c r="Q483" s="7" t="s">
        <v>110</v>
      </c>
      <c r="R483" s="7" t="str">
        <f>IFERROR(__xludf.DUMMYFUNCTION("""COMPUTED_VALUE"""),"")</f>
        <v/>
      </c>
    </row>
    <row r="484">
      <c r="B484" s="8"/>
      <c r="G484" s="7" t="str">
        <f>IFERROR(__xludf.DUMMYFUNCTION("""COMPUTED_VALUE"""),"")</f>
        <v/>
      </c>
      <c r="K484" s="7" t="str">
        <f>IFERROR(__xludf.DUMMYFUNCTION("""COMPUTED_VALUE"""),"")</f>
        <v/>
      </c>
      <c r="M484" s="7" t="s">
        <v>110</v>
      </c>
      <c r="O484" s="7" t="str">
        <f>IFERROR(__xludf.DUMMYFUNCTION("""COMPUTED_VALUE"""),"")</f>
        <v/>
      </c>
      <c r="Q484" s="7" t="s">
        <v>110</v>
      </c>
      <c r="R484" s="7" t="str">
        <f>IFERROR(__xludf.DUMMYFUNCTION("""COMPUTED_VALUE"""),"")</f>
        <v/>
      </c>
    </row>
    <row r="485">
      <c r="B485" s="8"/>
      <c r="G485" s="7" t="str">
        <f>IFERROR(__xludf.DUMMYFUNCTION("""COMPUTED_VALUE"""),"")</f>
        <v/>
      </c>
      <c r="K485" s="7" t="str">
        <f>IFERROR(__xludf.DUMMYFUNCTION("""COMPUTED_VALUE"""),"")</f>
        <v/>
      </c>
      <c r="M485" s="7" t="s">
        <v>110</v>
      </c>
      <c r="O485" s="7" t="str">
        <f>IFERROR(__xludf.DUMMYFUNCTION("""COMPUTED_VALUE"""),"")</f>
        <v/>
      </c>
      <c r="Q485" s="7" t="s">
        <v>110</v>
      </c>
      <c r="R485" s="7" t="str">
        <f>IFERROR(__xludf.DUMMYFUNCTION("""COMPUTED_VALUE"""),"")</f>
        <v/>
      </c>
    </row>
    <row r="486">
      <c r="B486" s="8"/>
      <c r="G486" s="7" t="str">
        <f>IFERROR(__xludf.DUMMYFUNCTION("""COMPUTED_VALUE"""),"")</f>
        <v/>
      </c>
      <c r="K486" s="7" t="str">
        <f>IFERROR(__xludf.DUMMYFUNCTION("""COMPUTED_VALUE"""),"")</f>
        <v/>
      </c>
      <c r="M486" s="7" t="s">
        <v>110</v>
      </c>
      <c r="O486" s="7" t="str">
        <f>IFERROR(__xludf.DUMMYFUNCTION("""COMPUTED_VALUE"""),"")</f>
        <v/>
      </c>
      <c r="Q486" s="7" t="s">
        <v>110</v>
      </c>
      <c r="R486" s="7" t="str">
        <f>IFERROR(__xludf.DUMMYFUNCTION("""COMPUTED_VALUE"""),"")</f>
        <v/>
      </c>
    </row>
    <row r="487">
      <c r="B487" s="8"/>
      <c r="G487" s="7" t="str">
        <f>IFERROR(__xludf.DUMMYFUNCTION("""COMPUTED_VALUE"""),"")</f>
        <v/>
      </c>
      <c r="K487" s="7" t="str">
        <f>IFERROR(__xludf.DUMMYFUNCTION("""COMPUTED_VALUE"""),"")</f>
        <v/>
      </c>
      <c r="M487" s="7" t="s">
        <v>110</v>
      </c>
      <c r="O487" s="7" t="str">
        <f>IFERROR(__xludf.DUMMYFUNCTION("""COMPUTED_VALUE"""),"")</f>
        <v/>
      </c>
      <c r="Q487" s="7" t="s">
        <v>110</v>
      </c>
      <c r="R487" s="7" t="str">
        <f>IFERROR(__xludf.DUMMYFUNCTION("""COMPUTED_VALUE"""),"")</f>
        <v/>
      </c>
    </row>
    <row r="488">
      <c r="B488" s="8"/>
      <c r="G488" s="7" t="str">
        <f>IFERROR(__xludf.DUMMYFUNCTION("""COMPUTED_VALUE"""),"")</f>
        <v/>
      </c>
      <c r="K488" s="7" t="str">
        <f>IFERROR(__xludf.DUMMYFUNCTION("""COMPUTED_VALUE"""),"")</f>
        <v/>
      </c>
      <c r="M488" s="7" t="s">
        <v>110</v>
      </c>
      <c r="O488" s="7" t="str">
        <f>IFERROR(__xludf.DUMMYFUNCTION("""COMPUTED_VALUE"""),"")</f>
        <v/>
      </c>
      <c r="Q488" s="7" t="s">
        <v>110</v>
      </c>
      <c r="R488" s="7" t="str">
        <f>IFERROR(__xludf.DUMMYFUNCTION("""COMPUTED_VALUE"""),"")</f>
        <v/>
      </c>
    </row>
    <row r="489">
      <c r="B489" s="8"/>
      <c r="G489" s="7" t="str">
        <f>IFERROR(__xludf.DUMMYFUNCTION("""COMPUTED_VALUE"""),"")</f>
        <v/>
      </c>
      <c r="K489" s="7" t="str">
        <f>IFERROR(__xludf.DUMMYFUNCTION("""COMPUTED_VALUE"""),"")</f>
        <v/>
      </c>
      <c r="M489" s="7" t="s">
        <v>110</v>
      </c>
      <c r="O489" s="7" t="str">
        <f>IFERROR(__xludf.DUMMYFUNCTION("""COMPUTED_VALUE"""),"")</f>
        <v/>
      </c>
      <c r="Q489" s="7" t="s">
        <v>110</v>
      </c>
      <c r="R489" s="7" t="str">
        <f>IFERROR(__xludf.DUMMYFUNCTION("""COMPUTED_VALUE"""),"")</f>
        <v/>
      </c>
    </row>
    <row r="490">
      <c r="B490" s="8"/>
      <c r="G490" s="7" t="str">
        <f>IFERROR(__xludf.DUMMYFUNCTION("""COMPUTED_VALUE"""),"")</f>
        <v/>
      </c>
      <c r="K490" s="7" t="str">
        <f>IFERROR(__xludf.DUMMYFUNCTION("""COMPUTED_VALUE"""),"")</f>
        <v/>
      </c>
      <c r="M490" s="7" t="s">
        <v>110</v>
      </c>
      <c r="O490" s="7" t="str">
        <f>IFERROR(__xludf.DUMMYFUNCTION("""COMPUTED_VALUE"""),"")</f>
        <v/>
      </c>
      <c r="Q490" s="7" t="s">
        <v>110</v>
      </c>
      <c r="R490" s="7" t="str">
        <f>IFERROR(__xludf.DUMMYFUNCTION("""COMPUTED_VALUE"""),"")</f>
        <v/>
      </c>
    </row>
    <row r="491">
      <c r="B491" s="8"/>
      <c r="G491" s="7" t="str">
        <f>IFERROR(__xludf.DUMMYFUNCTION("""COMPUTED_VALUE"""),"")</f>
        <v/>
      </c>
      <c r="K491" s="7" t="str">
        <f>IFERROR(__xludf.DUMMYFUNCTION("""COMPUTED_VALUE"""),"")</f>
        <v/>
      </c>
      <c r="M491" s="7" t="s">
        <v>110</v>
      </c>
      <c r="O491" s="7" t="str">
        <f>IFERROR(__xludf.DUMMYFUNCTION("""COMPUTED_VALUE"""),"")</f>
        <v/>
      </c>
      <c r="Q491" s="7" t="s">
        <v>110</v>
      </c>
      <c r="R491" s="7" t="str">
        <f>IFERROR(__xludf.DUMMYFUNCTION("""COMPUTED_VALUE"""),"")</f>
        <v/>
      </c>
    </row>
    <row r="492">
      <c r="B492" s="8"/>
      <c r="G492" s="7" t="str">
        <f>IFERROR(__xludf.DUMMYFUNCTION("""COMPUTED_VALUE"""),"")</f>
        <v/>
      </c>
      <c r="K492" s="7" t="str">
        <f>IFERROR(__xludf.DUMMYFUNCTION("""COMPUTED_VALUE"""),"")</f>
        <v/>
      </c>
      <c r="M492" s="7" t="s">
        <v>110</v>
      </c>
      <c r="O492" s="7" t="str">
        <f>IFERROR(__xludf.DUMMYFUNCTION("""COMPUTED_VALUE"""),"")</f>
        <v/>
      </c>
      <c r="Q492" s="7" t="s">
        <v>110</v>
      </c>
      <c r="R492" s="7" t="str">
        <f>IFERROR(__xludf.DUMMYFUNCTION("""COMPUTED_VALUE"""),"")</f>
        <v/>
      </c>
    </row>
    <row r="493">
      <c r="B493" s="8"/>
      <c r="G493" s="7" t="str">
        <f>IFERROR(__xludf.DUMMYFUNCTION("""COMPUTED_VALUE"""),"")</f>
        <v/>
      </c>
      <c r="K493" s="7" t="str">
        <f>IFERROR(__xludf.DUMMYFUNCTION("""COMPUTED_VALUE"""),"")</f>
        <v/>
      </c>
      <c r="M493" s="7" t="s">
        <v>110</v>
      </c>
      <c r="O493" s="7" t="str">
        <f>IFERROR(__xludf.DUMMYFUNCTION("""COMPUTED_VALUE"""),"")</f>
        <v/>
      </c>
      <c r="Q493" s="7" t="s">
        <v>110</v>
      </c>
      <c r="R493" s="7" t="str">
        <f>IFERROR(__xludf.DUMMYFUNCTION("""COMPUTED_VALUE"""),"")</f>
        <v/>
      </c>
    </row>
    <row r="494">
      <c r="B494" s="8"/>
      <c r="G494" s="7" t="str">
        <f>IFERROR(__xludf.DUMMYFUNCTION("""COMPUTED_VALUE"""),"")</f>
        <v/>
      </c>
      <c r="K494" s="7" t="str">
        <f>IFERROR(__xludf.DUMMYFUNCTION("""COMPUTED_VALUE"""),"")</f>
        <v/>
      </c>
      <c r="M494" s="7" t="s">
        <v>110</v>
      </c>
      <c r="O494" s="7" t="str">
        <f>IFERROR(__xludf.DUMMYFUNCTION("""COMPUTED_VALUE"""),"")</f>
        <v/>
      </c>
      <c r="Q494" s="7" t="s">
        <v>110</v>
      </c>
      <c r="R494" s="7" t="str">
        <f>IFERROR(__xludf.DUMMYFUNCTION("""COMPUTED_VALUE"""),"")</f>
        <v/>
      </c>
    </row>
    <row r="495">
      <c r="B495" s="8"/>
      <c r="G495" s="7" t="str">
        <f>IFERROR(__xludf.DUMMYFUNCTION("""COMPUTED_VALUE"""),"")</f>
        <v/>
      </c>
      <c r="K495" s="7" t="str">
        <f>IFERROR(__xludf.DUMMYFUNCTION("""COMPUTED_VALUE"""),"")</f>
        <v/>
      </c>
      <c r="M495" s="7" t="s">
        <v>110</v>
      </c>
      <c r="O495" s="7" t="str">
        <f>IFERROR(__xludf.DUMMYFUNCTION("""COMPUTED_VALUE"""),"")</f>
        <v/>
      </c>
      <c r="Q495" s="7" t="s">
        <v>110</v>
      </c>
      <c r="R495" s="7" t="str">
        <f>IFERROR(__xludf.DUMMYFUNCTION("""COMPUTED_VALUE"""),"")</f>
        <v/>
      </c>
    </row>
    <row r="496">
      <c r="B496" s="8"/>
      <c r="G496" s="7" t="str">
        <f>IFERROR(__xludf.DUMMYFUNCTION("""COMPUTED_VALUE"""),"")</f>
        <v/>
      </c>
      <c r="K496" s="7" t="str">
        <f>IFERROR(__xludf.DUMMYFUNCTION("""COMPUTED_VALUE"""),"")</f>
        <v/>
      </c>
      <c r="M496" s="7" t="s">
        <v>110</v>
      </c>
      <c r="O496" s="7" t="str">
        <f>IFERROR(__xludf.DUMMYFUNCTION("""COMPUTED_VALUE"""),"")</f>
        <v/>
      </c>
      <c r="Q496" s="7" t="s">
        <v>110</v>
      </c>
      <c r="R496" s="7" t="str">
        <f>IFERROR(__xludf.DUMMYFUNCTION("""COMPUTED_VALUE"""),"")</f>
        <v/>
      </c>
    </row>
    <row r="497">
      <c r="B497" s="8"/>
      <c r="G497" s="7" t="str">
        <f>IFERROR(__xludf.DUMMYFUNCTION("""COMPUTED_VALUE"""),"")</f>
        <v/>
      </c>
      <c r="K497" s="7" t="str">
        <f>IFERROR(__xludf.DUMMYFUNCTION("""COMPUTED_VALUE"""),"")</f>
        <v/>
      </c>
      <c r="M497" s="7" t="s">
        <v>110</v>
      </c>
      <c r="O497" s="7" t="str">
        <f>IFERROR(__xludf.DUMMYFUNCTION("""COMPUTED_VALUE"""),"")</f>
        <v/>
      </c>
      <c r="Q497" s="7" t="s">
        <v>110</v>
      </c>
      <c r="R497" s="7" t="str">
        <f>IFERROR(__xludf.DUMMYFUNCTION("""COMPUTED_VALUE"""),"")</f>
        <v/>
      </c>
    </row>
    <row r="498">
      <c r="B498" s="8"/>
      <c r="G498" s="7" t="str">
        <f>IFERROR(__xludf.DUMMYFUNCTION("""COMPUTED_VALUE"""),"")</f>
        <v/>
      </c>
      <c r="K498" s="7" t="str">
        <f>IFERROR(__xludf.DUMMYFUNCTION("""COMPUTED_VALUE"""),"")</f>
        <v/>
      </c>
      <c r="M498" s="7" t="s">
        <v>110</v>
      </c>
      <c r="O498" s="7" t="str">
        <f>IFERROR(__xludf.DUMMYFUNCTION("""COMPUTED_VALUE"""),"")</f>
        <v/>
      </c>
      <c r="Q498" s="7" t="s">
        <v>110</v>
      </c>
      <c r="R498" s="7" t="str">
        <f>IFERROR(__xludf.DUMMYFUNCTION("""COMPUTED_VALUE"""),"")</f>
        <v/>
      </c>
    </row>
    <row r="499">
      <c r="B499" s="8"/>
      <c r="G499" s="7" t="str">
        <f>IFERROR(__xludf.DUMMYFUNCTION("""COMPUTED_VALUE"""),"")</f>
        <v/>
      </c>
      <c r="K499" s="7" t="str">
        <f>IFERROR(__xludf.DUMMYFUNCTION("""COMPUTED_VALUE"""),"")</f>
        <v/>
      </c>
      <c r="M499" s="7" t="s">
        <v>110</v>
      </c>
      <c r="O499" s="7" t="str">
        <f>IFERROR(__xludf.DUMMYFUNCTION("""COMPUTED_VALUE"""),"")</f>
        <v/>
      </c>
      <c r="Q499" s="7" t="s">
        <v>110</v>
      </c>
      <c r="R499" s="7" t="str">
        <f>IFERROR(__xludf.DUMMYFUNCTION("""COMPUTED_VALUE"""),"")</f>
        <v/>
      </c>
    </row>
    <row r="500">
      <c r="B500" s="8"/>
      <c r="G500" s="7" t="str">
        <f>IFERROR(__xludf.DUMMYFUNCTION("""COMPUTED_VALUE"""),"")</f>
        <v/>
      </c>
      <c r="K500" s="7" t="str">
        <f>IFERROR(__xludf.DUMMYFUNCTION("""COMPUTED_VALUE"""),"")</f>
        <v/>
      </c>
      <c r="M500" s="7" t="s">
        <v>110</v>
      </c>
      <c r="O500" s="7" t="str">
        <f>IFERROR(__xludf.DUMMYFUNCTION("""COMPUTED_VALUE"""),"")</f>
        <v/>
      </c>
      <c r="Q500" s="7" t="s">
        <v>110</v>
      </c>
      <c r="R500" s="7" t="str">
        <f>IFERROR(__xludf.DUMMYFUNCTION("""COMPUTED_VALUE"""),"")</f>
        <v/>
      </c>
    </row>
    <row r="501">
      <c r="B501" s="8"/>
      <c r="G501" s="7" t="str">
        <f>IFERROR(__xludf.DUMMYFUNCTION("""COMPUTED_VALUE"""),"")</f>
        <v/>
      </c>
      <c r="K501" s="7" t="str">
        <f>IFERROR(__xludf.DUMMYFUNCTION("""COMPUTED_VALUE"""),"")</f>
        <v/>
      </c>
      <c r="M501" s="7" t="s">
        <v>110</v>
      </c>
      <c r="O501" s="7" t="str">
        <f>IFERROR(__xludf.DUMMYFUNCTION("""COMPUTED_VALUE"""),"")</f>
        <v/>
      </c>
      <c r="Q501" s="7" t="s">
        <v>110</v>
      </c>
      <c r="R501" s="7" t="str">
        <f>IFERROR(__xludf.DUMMYFUNCTION("""COMPUTED_VALUE"""),"")</f>
        <v/>
      </c>
    </row>
    <row r="502">
      <c r="B502" s="8"/>
      <c r="G502" s="7" t="str">
        <f>IFERROR(__xludf.DUMMYFUNCTION("""COMPUTED_VALUE"""),"")</f>
        <v/>
      </c>
      <c r="K502" s="7" t="str">
        <f>IFERROR(__xludf.DUMMYFUNCTION("""COMPUTED_VALUE"""),"")</f>
        <v/>
      </c>
      <c r="M502" s="7" t="s">
        <v>110</v>
      </c>
      <c r="O502" s="7" t="str">
        <f>IFERROR(__xludf.DUMMYFUNCTION("""COMPUTED_VALUE"""),"")</f>
        <v/>
      </c>
      <c r="Q502" s="7" t="s">
        <v>110</v>
      </c>
      <c r="R502" s="7" t="str">
        <f>IFERROR(__xludf.DUMMYFUNCTION("""COMPUTED_VALUE"""),"")</f>
        <v/>
      </c>
    </row>
    <row r="503">
      <c r="B503" s="8"/>
      <c r="G503" s="7" t="str">
        <f>IFERROR(__xludf.DUMMYFUNCTION("""COMPUTED_VALUE"""),"")</f>
        <v/>
      </c>
      <c r="K503" s="7" t="str">
        <f>IFERROR(__xludf.DUMMYFUNCTION("""COMPUTED_VALUE"""),"")</f>
        <v/>
      </c>
      <c r="M503" s="7" t="s">
        <v>110</v>
      </c>
      <c r="O503" s="7" t="str">
        <f>IFERROR(__xludf.DUMMYFUNCTION("""COMPUTED_VALUE"""),"")</f>
        <v/>
      </c>
      <c r="Q503" s="7" t="s">
        <v>110</v>
      </c>
      <c r="R503" s="7" t="str">
        <f>IFERROR(__xludf.DUMMYFUNCTION("""COMPUTED_VALUE"""),"")</f>
        <v/>
      </c>
    </row>
    <row r="504">
      <c r="B504" s="8"/>
      <c r="G504" s="7" t="str">
        <f>IFERROR(__xludf.DUMMYFUNCTION("""COMPUTED_VALUE"""),"")</f>
        <v/>
      </c>
      <c r="K504" s="7" t="str">
        <f>IFERROR(__xludf.DUMMYFUNCTION("""COMPUTED_VALUE"""),"")</f>
        <v/>
      </c>
      <c r="M504" s="7" t="s">
        <v>110</v>
      </c>
      <c r="O504" s="7" t="str">
        <f>IFERROR(__xludf.DUMMYFUNCTION("""COMPUTED_VALUE"""),"")</f>
        <v/>
      </c>
      <c r="Q504" s="7" t="s">
        <v>110</v>
      </c>
      <c r="R504" s="7" t="str">
        <f>IFERROR(__xludf.DUMMYFUNCTION("""COMPUTED_VALUE"""),"")</f>
        <v/>
      </c>
    </row>
    <row r="505">
      <c r="B505" s="8"/>
      <c r="G505" s="7" t="str">
        <f>IFERROR(__xludf.DUMMYFUNCTION("""COMPUTED_VALUE"""),"")</f>
        <v/>
      </c>
      <c r="K505" s="7" t="str">
        <f>IFERROR(__xludf.DUMMYFUNCTION("""COMPUTED_VALUE"""),"")</f>
        <v/>
      </c>
      <c r="M505" s="7" t="s">
        <v>110</v>
      </c>
      <c r="O505" s="7" t="str">
        <f>IFERROR(__xludf.DUMMYFUNCTION("""COMPUTED_VALUE"""),"")</f>
        <v/>
      </c>
      <c r="Q505" s="7" t="s">
        <v>110</v>
      </c>
      <c r="R505" s="7" t="str">
        <f>IFERROR(__xludf.DUMMYFUNCTION("""COMPUTED_VALUE"""),"")</f>
        <v/>
      </c>
    </row>
    <row r="506">
      <c r="B506" s="8"/>
      <c r="G506" s="7" t="str">
        <f>IFERROR(__xludf.DUMMYFUNCTION("""COMPUTED_VALUE"""),"")</f>
        <v/>
      </c>
      <c r="K506" s="7" t="str">
        <f>IFERROR(__xludf.DUMMYFUNCTION("""COMPUTED_VALUE"""),"")</f>
        <v/>
      </c>
      <c r="M506" s="7" t="s">
        <v>110</v>
      </c>
      <c r="O506" s="7" t="str">
        <f>IFERROR(__xludf.DUMMYFUNCTION("""COMPUTED_VALUE"""),"")</f>
        <v/>
      </c>
      <c r="Q506" s="7" t="s">
        <v>110</v>
      </c>
      <c r="R506" s="7" t="str">
        <f>IFERROR(__xludf.DUMMYFUNCTION("""COMPUTED_VALUE"""),"")</f>
        <v/>
      </c>
    </row>
    <row r="507">
      <c r="B507" s="8"/>
      <c r="G507" s="7" t="str">
        <f>IFERROR(__xludf.DUMMYFUNCTION("""COMPUTED_VALUE"""),"")</f>
        <v/>
      </c>
      <c r="K507" s="7" t="str">
        <f>IFERROR(__xludf.DUMMYFUNCTION("""COMPUTED_VALUE"""),"")</f>
        <v/>
      </c>
      <c r="M507" s="7" t="s">
        <v>110</v>
      </c>
      <c r="O507" s="7" t="str">
        <f>IFERROR(__xludf.DUMMYFUNCTION("""COMPUTED_VALUE"""),"")</f>
        <v/>
      </c>
      <c r="Q507" s="7" t="s">
        <v>110</v>
      </c>
      <c r="R507" s="7" t="str">
        <f>IFERROR(__xludf.DUMMYFUNCTION("""COMPUTED_VALUE"""),"")</f>
        <v/>
      </c>
    </row>
    <row r="508">
      <c r="B508" s="8"/>
      <c r="G508" s="7" t="str">
        <f>IFERROR(__xludf.DUMMYFUNCTION("""COMPUTED_VALUE"""),"")</f>
        <v/>
      </c>
      <c r="K508" s="7" t="str">
        <f>IFERROR(__xludf.DUMMYFUNCTION("""COMPUTED_VALUE"""),"")</f>
        <v/>
      </c>
      <c r="M508" s="7" t="s">
        <v>110</v>
      </c>
      <c r="O508" s="7" t="str">
        <f>IFERROR(__xludf.DUMMYFUNCTION("""COMPUTED_VALUE"""),"")</f>
        <v/>
      </c>
      <c r="Q508" s="7" t="s">
        <v>110</v>
      </c>
      <c r="R508" s="7" t="str">
        <f>IFERROR(__xludf.DUMMYFUNCTION("""COMPUTED_VALUE"""),"")</f>
        <v/>
      </c>
    </row>
    <row r="509">
      <c r="B509" s="8"/>
      <c r="G509" s="7" t="str">
        <f>IFERROR(__xludf.DUMMYFUNCTION("""COMPUTED_VALUE"""),"")</f>
        <v/>
      </c>
      <c r="K509" s="7" t="str">
        <f>IFERROR(__xludf.DUMMYFUNCTION("""COMPUTED_VALUE"""),"")</f>
        <v/>
      </c>
      <c r="M509" s="7" t="s">
        <v>110</v>
      </c>
      <c r="O509" s="7" t="str">
        <f>IFERROR(__xludf.DUMMYFUNCTION("""COMPUTED_VALUE"""),"")</f>
        <v/>
      </c>
      <c r="Q509" s="7" t="s">
        <v>110</v>
      </c>
      <c r="R509" s="7" t="str">
        <f>IFERROR(__xludf.DUMMYFUNCTION("""COMPUTED_VALUE"""),"")</f>
        <v/>
      </c>
    </row>
    <row r="510">
      <c r="B510" s="8"/>
      <c r="G510" s="7" t="str">
        <f>IFERROR(__xludf.DUMMYFUNCTION("""COMPUTED_VALUE"""),"")</f>
        <v/>
      </c>
      <c r="K510" s="7" t="str">
        <f>IFERROR(__xludf.DUMMYFUNCTION("""COMPUTED_VALUE"""),"")</f>
        <v/>
      </c>
      <c r="M510" s="7" t="s">
        <v>110</v>
      </c>
      <c r="O510" s="7" t="str">
        <f>IFERROR(__xludf.DUMMYFUNCTION("""COMPUTED_VALUE"""),"")</f>
        <v/>
      </c>
      <c r="Q510" s="7" t="s">
        <v>110</v>
      </c>
      <c r="R510" s="7" t="str">
        <f>IFERROR(__xludf.DUMMYFUNCTION("""COMPUTED_VALUE"""),"")</f>
        <v/>
      </c>
    </row>
    <row r="511">
      <c r="B511" s="8"/>
      <c r="G511" s="7" t="str">
        <f>IFERROR(__xludf.DUMMYFUNCTION("""COMPUTED_VALUE"""),"")</f>
        <v/>
      </c>
      <c r="K511" s="7" t="str">
        <f>IFERROR(__xludf.DUMMYFUNCTION("""COMPUTED_VALUE"""),"")</f>
        <v/>
      </c>
      <c r="M511" s="7" t="s">
        <v>110</v>
      </c>
      <c r="O511" s="7" t="str">
        <f>IFERROR(__xludf.DUMMYFUNCTION("""COMPUTED_VALUE"""),"")</f>
        <v/>
      </c>
      <c r="Q511" s="7" t="s">
        <v>110</v>
      </c>
      <c r="R511" s="7" t="str">
        <f>IFERROR(__xludf.DUMMYFUNCTION("""COMPUTED_VALUE"""),"")</f>
        <v/>
      </c>
    </row>
    <row r="512">
      <c r="B512" s="8"/>
      <c r="G512" s="7" t="str">
        <f>IFERROR(__xludf.DUMMYFUNCTION("""COMPUTED_VALUE"""),"")</f>
        <v/>
      </c>
      <c r="K512" s="7" t="str">
        <f>IFERROR(__xludf.DUMMYFUNCTION("""COMPUTED_VALUE"""),"")</f>
        <v/>
      </c>
      <c r="M512" s="7" t="s">
        <v>110</v>
      </c>
      <c r="O512" s="7" t="str">
        <f>IFERROR(__xludf.DUMMYFUNCTION("""COMPUTED_VALUE"""),"")</f>
        <v/>
      </c>
      <c r="Q512" s="7" t="s">
        <v>110</v>
      </c>
      <c r="R512" s="7" t="str">
        <f>IFERROR(__xludf.DUMMYFUNCTION("""COMPUTED_VALUE"""),"")</f>
        <v/>
      </c>
    </row>
    <row r="513">
      <c r="B513" s="8"/>
      <c r="G513" s="7" t="str">
        <f>IFERROR(__xludf.DUMMYFUNCTION("""COMPUTED_VALUE"""),"")</f>
        <v/>
      </c>
      <c r="K513" s="7" t="str">
        <f>IFERROR(__xludf.DUMMYFUNCTION("""COMPUTED_VALUE"""),"")</f>
        <v/>
      </c>
      <c r="M513" s="7" t="s">
        <v>110</v>
      </c>
      <c r="O513" s="7" t="str">
        <f>IFERROR(__xludf.DUMMYFUNCTION("""COMPUTED_VALUE"""),"")</f>
        <v/>
      </c>
      <c r="Q513" s="7" t="s">
        <v>110</v>
      </c>
      <c r="R513" s="7" t="str">
        <f>IFERROR(__xludf.DUMMYFUNCTION("""COMPUTED_VALUE"""),"")</f>
        <v/>
      </c>
    </row>
    <row r="514">
      <c r="B514" s="8"/>
      <c r="G514" s="7" t="str">
        <f>IFERROR(__xludf.DUMMYFUNCTION("""COMPUTED_VALUE"""),"")</f>
        <v/>
      </c>
      <c r="K514" s="7" t="str">
        <f>IFERROR(__xludf.DUMMYFUNCTION("""COMPUTED_VALUE"""),"")</f>
        <v/>
      </c>
      <c r="M514" s="7" t="s">
        <v>110</v>
      </c>
      <c r="O514" s="7" t="str">
        <f>IFERROR(__xludf.DUMMYFUNCTION("""COMPUTED_VALUE"""),"")</f>
        <v/>
      </c>
      <c r="Q514" s="7" t="s">
        <v>110</v>
      </c>
      <c r="R514" s="7" t="str">
        <f>IFERROR(__xludf.DUMMYFUNCTION("""COMPUTED_VALUE"""),"")</f>
        <v/>
      </c>
    </row>
    <row r="515">
      <c r="B515" s="8"/>
      <c r="G515" s="7" t="str">
        <f>IFERROR(__xludf.DUMMYFUNCTION("""COMPUTED_VALUE"""),"")</f>
        <v/>
      </c>
      <c r="K515" s="7" t="str">
        <f>IFERROR(__xludf.DUMMYFUNCTION("""COMPUTED_VALUE"""),"")</f>
        <v/>
      </c>
      <c r="M515" s="7" t="s">
        <v>110</v>
      </c>
      <c r="O515" s="7" t="str">
        <f>IFERROR(__xludf.DUMMYFUNCTION("""COMPUTED_VALUE"""),"")</f>
        <v/>
      </c>
      <c r="Q515" s="7" t="s">
        <v>110</v>
      </c>
      <c r="R515" s="7" t="str">
        <f>IFERROR(__xludf.DUMMYFUNCTION("""COMPUTED_VALUE"""),"")</f>
        <v/>
      </c>
    </row>
    <row r="516">
      <c r="B516" s="8"/>
      <c r="G516" s="7" t="str">
        <f>IFERROR(__xludf.DUMMYFUNCTION("""COMPUTED_VALUE"""),"")</f>
        <v/>
      </c>
      <c r="K516" s="7" t="str">
        <f>IFERROR(__xludf.DUMMYFUNCTION("""COMPUTED_VALUE"""),"")</f>
        <v/>
      </c>
      <c r="M516" s="7" t="s">
        <v>110</v>
      </c>
      <c r="O516" s="7" t="str">
        <f>IFERROR(__xludf.DUMMYFUNCTION("""COMPUTED_VALUE"""),"")</f>
        <v/>
      </c>
      <c r="Q516" s="7" t="s">
        <v>110</v>
      </c>
      <c r="R516" s="7" t="str">
        <f>IFERROR(__xludf.DUMMYFUNCTION("""COMPUTED_VALUE"""),"")</f>
        <v/>
      </c>
    </row>
    <row r="517">
      <c r="B517" s="8"/>
      <c r="G517" s="7" t="str">
        <f>IFERROR(__xludf.DUMMYFUNCTION("""COMPUTED_VALUE"""),"")</f>
        <v/>
      </c>
      <c r="K517" s="7" t="str">
        <f>IFERROR(__xludf.DUMMYFUNCTION("""COMPUTED_VALUE"""),"")</f>
        <v/>
      </c>
      <c r="M517" s="7" t="s">
        <v>110</v>
      </c>
      <c r="O517" s="7" t="str">
        <f>IFERROR(__xludf.DUMMYFUNCTION("""COMPUTED_VALUE"""),"")</f>
        <v/>
      </c>
      <c r="Q517" s="7" t="s">
        <v>110</v>
      </c>
      <c r="R517" s="7" t="str">
        <f>IFERROR(__xludf.DUMMYFUNCTION("""COMPUTED_VALUE"""),"")</f>
        <v/>
      </c>
    </row>
    <row r="518">
      <c r="B518" s="8"/>
      <c r="G518" s="7" t="str">
        <f>IFERROR(__xludf.DUMMYFUNCTION("""COMPUTED_VALUE"""),"")</f>
        <v/>
      </c>
      <c r="K518" s="7" t="str">
        <f>IFERROR(__xludf.DUMMYFUNCTION("""COMPUTED_VALUE"""),"")</f>
        <v/>
      </c>
      <c r="M518" s="7" t="s">
        <v>110</v>
      </c>
      <c r="O518" s="7" t="str">
        <f>IFERROR(__xludf.DUMMYFUNCTION("""COMPUTED_VALUE"""),"")</f>
        <v/>
      </c>
      <c r="Q518" s="7" t="s">
        <v>110</v>
      </c>
      <c r="R518" s="7" t="str">
        <f>IFERROR(__xludf.DUMMYFUNCTION("""COMPUTED_VALUE"""),"")</f>
        <v/>
      </c>
    </row>
    <row r="519">
      <c r="B519" s="8"/>
      <c r="G519" s="7" t="str">
        <f>IFERROR(__xludf.DUMMYFUNCTION("""COMPUTED_VALUE"""),"")</f>
        <v/>
      </c>
      <c r="K519" s="7" t="str">
        <f>IFERROR(__xludf.DUMMYFUNCTION("""COMPUTED_VALUE"""),"")</f>
        <v/>
      </c>
      <c r="M519" s="7" t="s">
        <v>110</v>
      </c>
      <c r="O519" s="7" t="str">
        <f>IFERROR(__xludf.DUMMYFUNCTION("""COMPUTED_VALUE"""),"")</f>
        <v/>
      </c>
      <c r="Q519" s="7" t="s">
        <v>110</v>
      </c>
      <c r="R519" s="7" t="str">
        <f>IFERROR(__xludf.DUMMYFUNCTION("""COMPUTED_VALUE"""),"")</f>
        <v/>
      </c>
    </row>
    <row r="520">
      <c r="B520" s="8"/>
      <c r="G520" s="7" t="str">
        <f>IFERROR(__xludf.DUMMYFUNCTION("""COMPUTED_VALUE"""),"")</f>
        <v/>
      </c>
      <c r="K520" s="7" t="str">
        <f>IFERROR(__xludf.DUMMYFUNCTION("""COMPUTED_VALUE"""),"")</f>
        <v/>
      </c>
      <c r="M520" s="7" t="s">
        <v>110</v>
      </c>
      <c r="O520" s="7" t="str">
        <f>IFERROR(__xludf.DUMMYFUNCTION("""COMPUTED_VALUE"""),"")</f>
        <v/>
      </c>
      <c r="Q520" s="7" t="s">
        <v>110</v>
      </c>
      <c r="R520" s="7" t="str">
        <f>IFERROR(__xludf.DUMMYFUNCTION("""COMPUTED_VALUE"""),"")</f>
        <v/>
      </c>
    </row>
    <row r="521">
      <c r="B521" s="8"/>
      <c r="G521" s="7" t="str">
        <f>IFERROR(__xludf.DUMMYFUNCTION("""COMPUTED_VALUE"""),"")</f>
        <v/>
      </c>
      <c r="K521" s="7" t="str">
        <f>IFERROR(__xludf.DUMMYFUNCTION("""COMPUTED_VALUE"""),"")</f>
        <v/>
      </c>
      <c r="M521" s="7" t="s">
        <v>110</v>
      </c>
      <c r="O521" s="7" t="str">
        <f>IFERROR(__xludf.DUMMYFUNCTION("""COMPUTED_VALUE"""),"")</f>
        <v/>
      </c>
      <c r="Q521" s="7" t="s">
        <v>110</v>
      </c>
      <c r="R521" s="7" t="str">
        <f>IFERROR(__xludf.DUMMYFUNCTION("""COMPUTED_VALUE"""),"")</f>
        <v/>
      </c>
    </row>
    <row r="522">
      <c r="B522" s="8"/>
      <c r="G522" s="7" t="str">
        <f>IFERROR(__xludf.DUMMYFUNCTION("""COMPUTED_VALUE"""),"")</f>
        <v/>
      </c>
      <c r="K522" s="7" t="str">
        <f>IFERROR(__xludf.DUMMYFUNCTION("""COMPUTED_VALUE"""),"")</f>
        <v/>
      </c>
      <c r="M522" s="7" t="s">
        <v>110</v>
      </c>
      <c r="O522" s="7" t="str">
        <f>IFERROR(__xludf.DUMMYFUNCTION("""COMPUTED_VALUE"""),"")</f>
        <v/>
      </c>
      <c r="Q522" s="7" t="s">
        <v>110</v>
      </c>
      <c r="R522" s="7" t="str">
        <f>IFERROR(__xludf.DUMMYFUNCTION("""COMPUTED_VALUE"""),"")</f>
        <v/>
      </c>
    </row>
    <row r="523">
      <c r="B523" s="8"/>
      <c r="G523" s="7" t="str">
        <f>IFERROR(__xludf.DUMMYFUNCTION("""COMPUTED_VALUE"""),"")</f>
        <v/>
      </c>
      <c r="K523" s="7" t="str">
        <f>IFERROR(__xludf.DUMMYFUNCTION("""COMPUTED_VALUE"""),"")</f>
        <v/>
      </c>
      <c r="M523" s="7" t="s">
        <v>110</v>
      </c>
      <c r="O523" s="7" t="str">
        <f>IFERROR(__xludf.DUMMYFUNCTION("""COMPUTED_VALUE"""),"")</f>
        <v/>
      </c>
      <c r="Q523" s="7" t="s">
        <v>110</v>
      </c>
      <c r="R523" s="7" t="str">
        <f>IFERROR(__xludf.DUMMYFUNCTION("""COMPUTED_VALUE"""),"")</f>
        <v/>
      </c>
    </row>
    <row r="524">
      <c r="B524" s="8"/>
      <c r="G524" s="7" t="str">
        <f>IFERROR(__xludf.DUMMYFUNCTION("""COMPUTED_VALUE"""),"")</f>
        <v/>
      </c>
      <c r="K524" s="7" t="str">
        <f>IFERROR(__xludf.DUMMYFUNCTION("""COMPUTED_VALUE"""),"")</f>
        <v/>
      </c>
      <c r="M524" s="7" t="s">
        <v>110</v>
      </c>
      <c r="O524" s="7" t="str">
        <f>IFERROR(__xludf.DUMMYFUNCTION("""COMPUTED_VALUE"""),"")</f>
        <v/>
      </c>
      <c r="Q524" s="7" t="s">
        <v>110</v>
      </c>
      <c r="R524" s="7" t="str">
        <f>IFERROR(__xludf.DUMMYFUNCTION("""COMPUTED_VALUE"""),"")</f>
        <v/>
      </c>
    </row>
    <row r="525">
      <c r="B525" s="8"/>
      <c r="G525" s="7" t="str">
        <f>IFERROR(__xludf.DUMMYFUNCTION("""COMPUTED_VALUE"""),"")</f>
        <v/>
      </c>
      <c r="K525" s="7" t="str">
        <f>IFERROR(__xludf.DUMMYFUNCTION("""COMPUTED_VALUE"""),"")</f>
        <v/>
      </c>
      <c r="M525" s="7" t="s">
        <v>110</v>
      </c>
      <c r="O525" s="7" t="str">
        <f>IFERROR(__xludf.DUMMYFUNCTION("""COMPUTED_VALUE"""),"")</f>
        <v/>
      </c>
      <c r="Q525" s="7" t="s">
        <v>110</v>
      </c>
      <c r="R525" s="7" t="str">
        <f>IFERROR(__xludf.DUMMYFUNCTION("""COMPUTED_VALUE"""),"")</f>
        <v/>
      </c>
    </row>
    <row r="526">
      <c r="B526" s="8"/>
      <c r="G526" s="7" t="str">
        <f>IFERROR(__xludf.DUMMYFUNCTION("""COMPUTED_VALUE"""),"")</f>
        <v/>
      </c>
      <c r="K526" s="7" t="str">
        <f>IFERROR(__xludf.DUMMYFUNCTION("""COMPUTED_VALUE"""),"")</f>
        <v/>
      </c>
      <c r="M526" s="7" t="s">
        <v>110</v>
      </c>
      <c r="O526" s="7" t="str">
        <f>IFERROR(__xludf.DUMMYFUNCTION("""COMPUTED_VALUE"""),"")</f>
        <v/>
      </c>
      <c r="Q526" s="7" t="s">
        <v>110</v>
      </c>
      <c r="R526" s="7" t="str">
        <f>IFERROR(__xludf.DUMMYFUNCTION("""COMPUTED_VALUE"""),"")</f>
        <v/>
      </c>
    </row>
    <row r="527">
      <c r="B527" s="8"/>
      <c r="G527" s="7" t="str">
        <f>IFERROR(__xludf.DUMMYFUNCTION("""COMPUTED_VALUE"""),"")</f>
        <v/>
      </c>
      <c r="K527" s="7" t="str">
        <f>IFERROR(__xludf.DUMMYFUNCTION("""COMPUTED_VALUE"""),"")</f>
        <v/>
      </c>
      <c r="M527" s="7" t="s">
        <v>110</v>
      </c>
      <c r="O527" s="7" t="str">
        <f>IFERROR(__xludf.DUMMYFUNCTION("""COMPUTED_VALUE"""),"")</f>
        <v/>
      </c>
      <c r="Q527" s="7" t="s">
        <v>110</v>
      </c>
      <c r="R527" s="7" t="str">
        <f>IFERROR(__xludf.DUMMYFUNCTION("""COMPUTED_VALUE"""),"")</f>
        <v/>
      </c>
    </row>
    <row r="528">
      <c r="B528" s="8"/>
      <c r="G528" s="7" t="str">
        <f>IFERROR(__xludf.DUMMYFUNCTION("""COMPUTED_VALUE"""),"")</f>
        <v/>
      </c>
      <c r="K528" s="7" t="str">
        <f>IFERROR(__xludf.DUMMYFUNCTION("""COMPUTED_VALUE"""),"")</f>
        <v/>
      </c>
      <c r="M528" s="7" t="s">
        <v>110</v>
      </c>
      <c r="O528" s="7" t="str">
        <f>IFERROR(__xludf.DUMMYFUNCTION("""COMPUTED_VALUE"""),"")</f>
        <v/>
      </c>
      <c r="Q528" s="7" t="s">
        <v>110</v>
      </c>
      <c r="R528" s="7" t="str">
        <f>IFERROR(__xludf.DUMMYFUNCTION("""COMPUTED_VALUE"""),"")</f>
        <v/>
      </c>
    </row>
    <row r="529">
      <c r="B529" s="8"/>
      <c r="G529" s="7" t="str">
        <f>IFERROR(__xludf.DUMMYFUNCTION("""COMPUTED_VALUE"""),"")</f>
        <v/>
      </c>
      <c r="K529" s="7" t="str">
        <f>IFERROR(__xludf.DUMMYFUNCTION("""COMPUTED_VALUE"""),"")</f>
        <v/>
      </c>
      <c r="M529" s="7" t="s">
        <v>110</v>
      </c>
      <c r="O529" s="7" t="str">
        <f>IFERROR(__xludf.DUMMYFUNCTION("""COMPUTED_VALUE"""),"")</f>
        <v/>
      </c>
      <c r="Q529" s="7" t="s">
        <v>110</v>
      </c>
      <c r="R529" s="7" t="str">
        <f>IFERROR(__xludf.DUMMYFUNCTION("""COMPUTED_VALUE"""),"")</f>
        <v/>
      </c>
    </row>
    <row r="530">
      <c r="B530" s="8"/>
      <c r="G530" s="7" t="str">
        <f>IFERROR(__xludf.DUMMYFUNCTION("""COMPUTED_VALUE"""),"")</f>
        <v/>
      </c>
      <c r="K530" s="7" t="str">
        <f>IFERROR(__xludf.DUMMYFUNCTION("""COMPUTED_VALUE"""),"")</f>
        <v/>
      </c>
      <c r="M530" s="7" t="s">
        <v>110</v>
      </c>
      <c r="O530" s="7" t="str">
        <f>IFERROR(__xludf.DUMMYFUNCTION("""COMPUTED_VALUE"""),"")</f>
        <v/>
      </c>
      <c r="Q530" s="7" t="s">
        <v>110</v>
      </c>
      <c r="R530" s="7" t="str">
        <f>IFERROR(__xludf.DUMMYFUNCTION("""COMPUTED_VALUE"""),"")</f>
        <v/>
      </c>
    </row>
    <row r="531">
      <c r="B531" s="8"/>
      <c r="G531" s="7" t="str">
        <f>IFERROR(__xludf.DUMMYFUNCTION("""COMPUTED_VALUE"""),"")</f>
        <v/>
      </c>
      <c r="K531" s="7" t="str">
        <f>IFERROR(__xludf.DUMMYFUNCTION("""COMPUTED_VALUE"""),"")</f>
        <v/>
      </c>
      <c r="M531" s="7" t="s">
        <v>110</v>
      </c>
      <c r="O531" s="7" t="str">
        <f>IFERROR(__xludf.DUMMYFUNCTION("""COMPUTED_VALUE"""),"")</f>
        <v/>
      </c>
      <c r="Q531" s="7" t="s">
        <v>110</v>
      </c>
      <c r="R531" s="7" t="str">
        <f>IFERROR(__xludf.DUMMYFUNCTION("""COMPUTED_VALUE"""),"")</f>
        <v/>
      </c>
    </row>
    <row r="532">
      <c r="B532" s="8"/>
      <c r="G532" s="7" t="str">
        <f>IFERROR(__xludf.DUMMYFUNCTION("""COMPUTED_VALUE"""),"")</f>
        <v/>
      </c>
      <c r="K532" s="7" t="str">
        <f>IFERROR(__xludf.DUMMYFUNCTION("""COMPUTED_VALUE"""),"")</f>
        <v/>
      </c>
      <c r="M532" s="7" t="s">
        <v>110</v>
      </c>
      <c r="O532" s="7" t="str">
        <f>IFERROR(__xludf.DUMMYFUNCTION("""COMPUTED_VALUE"""),"")</f>
        <v/>
      </c>
      <c r="Q532" s="7" t="s">
        <v>110</v>
      </c>
      <c r="R532" s="7" t="str">
        <f>IFERROR(__xludf.DUMMYFUNCTION("""COMPUTED_VALUE"""),"")</f>
        <v/>
      </c>
    </row>
    <row r="533">
      <c r="B533" s="8"/>
      <c r="G533" s="7" t="str">
        <f>IFERROR(__xludf.DUMMYFUNCTION("""COMPUTED_VALUE"""),"")</f>
        <v/>
      </c>
      <c r="K533" s="7" t="str">
        <f>IFERROR(__xludf.DUMMYFUNCTION("""COMPUTED_VALUE"""),"")</f>
        <v/>
      </c>
      <c r="M533" s="7" t="s">
        <v>110</v>
      </c>
      <c r="O533" s="7" t="str">
        <f>IFERROR(__xludf.DUMMYFUNCTION("""COMPUTED_VALUE"""),"")</f>
        <v/>
      </c>
      <c r="Q533" s="7" t="s">
        <v>110</v>
      </c>
      <c r="R533" s="7" t="str">
        <f>IFERROR(__xludf.DUMMYFUNCTION("""COMPUTED_VALUE"""),"")</f>
        <v/>
      </c>
    </row>
    <row r="534">
      <c r="B534" s="8"/>
      <c r="G534" s="7" t="str">
        <f>IFERROR(__xludf.DUMMYFUNCTION("""COMPUTED_VALUE"""),"")</f>
        <v/>
      </c>
      <c r="K534" s="7" t="str">
        <f>IFERROR(__xludf.DUMMYFUNCTION("""COMPUTED_VALUE"""),"")</f>
        <v/>
      </c>
      <c r="M534" s="7" t="s">
        <v>110</v>
      </c>
      <c r="O534" s="7" t="str">
        <f>IFERROR(__xludf.DUMMYFUNCTION("""COMPUTED_VALUE"""),"")</f>
        <v/>
      </c>
      <c r="Q534" s="7" t="s">
        <v>110</v>
      </c>
      <c r="R534" s="7" t="str">
        <f>IFERROR(__xludf.DUMMYFUNCTION("""COMPUTED_VALUE"""),"")</f>
        <v/>
      </c>
    </row>
    <row r="535">
      <c r="B535" s="8"/>
      <c r="G535" s="7" t="str">
        <f>IFERROR(__xludf.DUMMYFUNCTION("""COMPUTED_VALUE"""),"")</f>
        <v/>
      </c>
      <c r="K535" s="7" t="str">
        <f>IFERROR(__xludf.DUMMYFUNCTION("""COMPUTED_VALUE"""),"")</f>
        <v/>
      </c>
      <c r="M535" s="7" t="s">
        <v>110</v>
      </c>
      <c r="O535" s="7" t="str">
        <f>IFERROR(__xludf.DUMMYFUNCTION("""COMPUTED_VALUE"""),"")</f>
        <v/>
      </c>
      <c r="Q535" s="7" t="s">
        <v>110</v>
      </c>
      <c r="R535" s="7" t="str">
        <f>IFERROR(__xludf.DUMMYFUNCTION("""COMPUTED_VALUE"""),"")</f>
        <v/>
      </c>
    </row>
    <row r="536">
      <c r="B536" s="8"/>
      <c r="G536" s="7" t="str">
        <f>IFERROR(__xludf.DUMMYFUNCTION("""COMPUTED_VALUE"""),"")</f>
        <v/>
      </c>
      <c r="K536" s="7" t="str">
        <f>IFERROR(__xludf.DUMMYFUNCTION("""COMPUTED_VALUE"""),"")</f>
        <v/>
      </c>
      <c r="M536" s="7" t="s">
        <v>110</v>
      </c>
      <c r="O536" s="7" t="str">
        <f>IFERROR(__xludf.DUMMYFUNCTION("""COMPUTED_VALUE"""),"")</f>
        <v/>
      </c>
      <c r="Q536" s="7" t="s">
        <v>110</v>
      </c>
      <c r="R536" s="7" t="str">
        <f>IFERROR(__xludf.DUMMYFUNCTION("""COMPUTED_VALUE"""),"")</f>
        <v/>
      </c>
    </row>
    <row r="537">
      <c r="B537" s="8"/>
      <c r="G537" s="7" t="str">
        <f>IFERROR(__xludf.DUMMYFUNCTION("""COMPUTED_VALUE"""),"")</f>
        <v/>
      </c>
      <c r="K537" s="7" t="str">
        <f>IFERROR(__xludf.DUMMYFUNCTION("""COMPUTED_VALUE"""),"")</f>
        <v/>
      </c>
      <c r="M537" s="7" t="s">
        <v>110</v>
      </c>
      <c r="O537" s="7" t="str">
        <f>IFERROR(__xludf.DUMMYFUNCTION("""COMPUTED_VALUE"""),"")</f>
        <v/>
      </c>
      <c r="Q537" s="7" t="s">
        <v>110</v>
      </c>
      <c r="R537" s="7" t="str">
        <f>IFERROR(__xludf.DUMMYFUNCTION("""COMPUTED_VALUE"""),"")</f>
        <v/>
      </c>
    </row>
    <row r="538">
      <c r="B538" s="8"/>
      <c r="G538" s="7" t="str">
        <f>IFERROR(__xludf.DUMMYFUNCTION("""COMPUTED_VALUE"""),"")</f>
        <v/>
      </c>
      <c r="K538" s="7" t="str">
        <f>IFERROR(__xludf.DUMMYFUNCTION("""COMPUTED_VALUE"""),"")</f>
        <v/>
      </c>
      <c r="M538" s="7" t="s">
        <v>110</v>
      </c>
      <c r="O538" s="7" t="str">
        <f>IFERROR(__xludf.DUMMYFUNCTION("""COMPUTED_VALUE"""),"")</f>
        <v/>
      </c>
      <c r="Q538" s="7" t="s">
        <v>110</v>
      </c>
      <c r="R538" s="7" t="str">
        <f>IFERROR(__xludf.DUMMYFUNCTION("""COMPUTED_VALUE"""),"")</f>
        <v/>
      </c>
    </row>
    <row r="539">
      <c r="B539" s="8"/>
      <c r="G539" s="7" t="str">
        <f>IFERROR(__xludf.DUMMYFUNCTION("""COMPUTED_VALUE"""),"")</f>
        <v/>
      </c>
      <c r="K539" s="7" t="str">
        <f>IFERROR(__xludf.DUMMYFUNCTION("""COMPUTED_VALUE"""),"")</f>
        <v/>
      </c>
      <c r="M539" s="7" t="s">
        <v>110</v>
      </c>
      <c r="O539" s="7" t="str">
        <f>IFERROR(__xludf.DUMMYFUNCTION("""COMPUTED_VALUE"""),"")</f>
        <v/>
      </c>
      <c r="Q539" s="7" t="s">
        <v>110</v>
      </c>
      <c r="R539" s="7" t="str">
        <f>IFERROR(__xludf.DUMMYFUNCTION("""COMPUTED_VALUE"""),"")</f>
        <v/>
      </c>
    </row>
    <row r="540">
      <c r="B540" s="8"/>
      <c r="G540" s="7" t="str">
        <f>IFERROR(__xludf.DUMMYFUNCTION("""COMPUTED_VALUE"""),"")</f>
        <v/>
      </c>
      <c r="K540" s="7" t="str">
        <f>IFERROR(__xludf.DUMMYFUNCTION("""COMPUTED_VALUE"""),"")</f>
        <v/>
      </c>
      <c r="M540" s="7" t="s">
        <v>110</v>
      </c>
      <c r="O540" s="7" t="str">
        <f>IFERROR(__xludf.DUMMYFUNCTION("""COMPUTED_VALUE"""),"")</f>
        <v/>
      </c>
      <c r="Q540" s="7" t="s">
        <v>110</v>
      </c>
      <c r="R540" s="7" t="str">
        <f>IFERROR(__xludf.DUMMYFUNCTION("""COMPUTED_VALUE"""),"")</f>
        <v/>
      </c>
    </row>
    <row r="541">
      <c r="B541" s="8"/>
      <c r="G541" s="7" t="str">
        <f>IFERROR(__xludf.DUMMYFUNCTION("""COMPUTED_VALUE"""),"")</f>
        <v/>
      </c>
      <c r="K541" s="7" t="str">
        <f>IFERROR(__xludf.DUMMYFUNCTION("""COMPUTED_VALUE"""),"")</f>
        <v/>
      </c>
      <c r="M541" s="7" t="s">
        <v>110</v>
      </c>
      <c r="O541" s="7" t="str">
        <f>IFERROR(__xludf.DUMMYFUNCTION("""COMPUTED_VALUE"""),"")</f>
        <v/>
      </c>
      <c r="Q541" s="7" t="s">
        <v>110</v>
      </c>
      <c r="R541" s="7" t="str">
        <f>IFERROR(__xludf.DUMMYFUNCTION("""COMPUTED_VALUE"""),"")</f>
        <v/>
      </c>
    </row>
    <row r="542">
      <c r="B542" s="8"/>
      <c r="G542" s="7" t="str">
        <f>IFERROR(__xludf.DUMMYFUNCTION("""COMPUTED_VALUE"""),"")</f>
        <v/>
      </c>
      <c r="K542" s="7" t="str">
        <f>IFERROR(__xludf.DUMMYFUNCTION("""COMPUTED_VALUE"""),"")</f>
        <v/>
      </c>
      <c r="M542" s="7" t="s">
        <v>110</v>
      </c>
      <c r="O542" s="7" t="str">
        <f>IFERROR(__xludf.DUMMYFUNCTION("""COMPUTED_VALUE"""),"")</f>
        <v/>
      </c>
      <c r="Q542" s="7" t="s">
        <v>110</v>
      </c>
      <c r="R542" s="7" t="str">
        <f>IFERROR(__xludf.DUMMYFUNCTION("""COMPUTED_VALUE"""),"")</f>
        <v/>
      </c>
    </row>
    <row r="543">
      <c r="B543" s="8"/>
      <c r="G543" s="7" t="str">
        <f>IFERROR(__xludf.DUMMYFUNCTION("""COMPUTED_VALUE"""),"")</f>
        <v/>
      </c>
      <c r="K543" s="7" t="str">
        <f>IFERROR(__xludf.DUMMYFUNCTION("""COMPUTED_VALUE"""),"")</f>
        <v/>
      </c>
      <c r="M543" s="7" t="s">
        <v>110</v>
      </c>
      <c r="O543" s="7" t="str">
        <f>IFERROR(__xludf.DUMMYFUNCTION("""COMPUTED_VALUE"""),"")</f>
        <v/>
      </c>
      <c r="Q543" s="7" t="s">
        <v>110</v>
      </c>
      <c r="R543" s="7" t="str">
        <f>IFERROR(__xludf.DUMMYFUNCTION("""COMPUTED_VALUE"""),"")</f>
        <v/>
      </c>
    </row>
    <row r="544">
      <c r="B544" s="8"/>
      <c r="G544" s="7" t="str">
        <f>IFERROR(__xludf.DUMMYFUNCTION("""COMPUTED_VALUE"""),"")</f>
        <v/>
      </c>
      <c r="K544" s="7" t="str">
        <f>IFERROR(__xludf.DUMMYFUNCTION("""COMPUTED_VALUE"""),"")</f>
        <v/>
      </c>
      <c r="M544" s="7" t="s">
        <v>110</v>
      </c>
      <c r="O544" s="7" t="str">
        <f>IFERROR(__xludf.DUMMYFUNCTION("""COMPUTED_VALUE"""),"")</f>
        <v/>
      </c>
      <c r="Q544" s="7" t="s">
        <v>110</v>
      </c>
      <c r="R544" s="7" t="str">
        <f>IFERROR(__xludf.DUMMYFUNCTION("""COMPUTED_VALUE"""),"")</f>
        <v/>
      </c>
    </row>
    <row r="545">
      <c r="B545" s="8"/>
      <c r="G545" s="7" t="str">
        <f>IFERROR(__xludf.DUMMYFUNCTION("""COMPUTED_VALUE"""),"")</f>
        <v/>
      </c>
      <c r="K545" s="7" t="str">
        <f>IFERROR(__xludf.DUMMYFUNCTION("""COMPUTED_VALUE"""),"")</f>
        <v/>
      </c>
      <c r="M545" s="7" t="s">
        <v>110</v>
      </c>
      <c r="O545" s="7" t="str">
        <f>IFERROR(__xludf.DUMMYFUNCTION("""COMPUTED_VALUE"""),"")</f>
        <v/>
      </c>
      <c r="Q545" s="7" t="s">
        <v>110</v>
      </c>
      <c r="R545" s="7" t="str">
        <f>IFERROR(__xludf.DUMMYFUNCTION("""COMPUTED_VALUE"""),"")</f>
        <v/>
      </c>
    </row>
    <row r="546">
      <c r="B546" s="8"/>
      <c r="G546" s="7" t="str">
        <f>IFERROR(__xludf.DUMMYFUNCTION("""COMPUTED_VALUE"""),"")</f>
        <v/>
      </c>
      <c r="K546" s="7" t="str">
        <f>IFERROR(__xludf.DUMMYFUNCTION("""COMPUTED_VALUE"""),"")</f>
        <v/>
      </c>
      <c r="M546" s="7" t="s">
        <v>110</v>
      </c>
      <c r="O546" s="7" t="str">
        <f>IFERROR(__xludf.DUMMYFUNCTION("""COMPUTED_VALUE"""),"")</f>
        <v/>
      </c>
      <c r="Q546" s="7" t="s">
        <v>110</v>
      </c>
      <c r="R546" s="7" t="str">
        <f>IFERROR(__xludf.DUMMYFUNCTION("""COMPUTED_VALUE"""),"")</f>
        <v/>
      </c>
    </row>
    <row r="547">
      <c r="B547" s="8"/>
      <c r="G547" s="7" t="str">
        <f>IFERROR(__xludf.DUMMYFUNCTION("""COMPUTED_VALUE"""),"")</f>
        <v/>
      </c>
      <c r="K547" s="7" t="str">
        <f>IFERROR(__xludf.DUMMYFUNCTION("""COMPUTED_VALUE"""),"")</f>
        <v/>
      </c>
      <c r="M547" s="7" t="s">
        <v>110</v>
      </c>
      <c r="O547" s="7" t="str">
        <f>IFERROR(__xludf.DUMMYFUNCTION("""COMPUTED_VALUE"""),"")</f>
        <v/>
      </c>
      <c r="Q547" s="7" t="s">
        <v>110</v>
      </c>
      <c r="R547" s="7" t="str">
        <f>IFERROR(__xludf.DUMMYFUNCTION("""COMPUTED_VALUE"""),"")</f>
        <v/>
      </c>
    </row>
    <row r="548">
      <c r="B548" s="8"/>
      <c r="G548" s="7" t="str">
        <f>IFERROR(__xludf.DUMMYFUNCTION("""COMPUTED_VALUE"""),"")</f>
        <v/>
      </c>
      <c r="K548" s="7" t="str">
        <f>IFERROR(__xludf.DUMMYFUNCTION("""COMPUTED_VALUE"""),"")</f>
        <v/>
      </c>
      <c r="M548" s="7" t="s">
        <v>110</v>
      </c>
      <c r="O548" s="7" t="str">
        <f>IFERROR(__xludf.DUMMYFUNCTION("""COMPUTED_VALUE"""),"")</f>
        <v/>
      </c>
      <c r="Q548" s="7" t="s">
        <v>110</v>
      </c>
      <c r="R548" s="7" t="str">
        <f>IFERROR(__xludf.DUMMYFUNCTION("""COMPUTED_VALUE"""),"")</f>
        <v/>
      </c>
    </row>
    <row r="549">
      <c r="B549" s="8"/>
      <c r="G549" s="7" t="str">
        <f>IFERROR(__xludf.DUMMYFUNCTION("""COMPUTED_VALUE"""),"")</f>
        <v/>
      </c>
      <c r="K549" s="7" t="str">
        <f>IFERROR(__xludf.DUMMYFUNCTION("""COMPUTED_VALUE"""),"")</f>
        <v/>
      </c>
      <c r="M549" s="7" t="s">
        <v>110</v>
      </c>
      <c r="O549" s="7" t="str">
        <f>IFERROR(__xludf.DUMMYFUNCTION("""COMPUTED_VALUE"""),"")</f>
        <v/>
      </c>
      <c r="Q549" s="7" t="s">
        <v>110</v>
      </c>
      <c r="R549" s="7" t="str">
        <f>IFERROR(__xludf.DUMMYFUNCTION("""COMPUTED_VALUE"""),"")</f>
        <v/>
      </c>
    </row>
    <row r="550">
      <c r="B550" s="8"/>
      <c r="G550" s="7" t="str">
        <f>IFERROR(__xludf.DUMMYFUNCTION("""COMPUTED_VALUE"""),"")</f>
        <v/>
      </c>
      <c r="K550" s="7" t="str">
        <f>IFERROR(__xludf.DUMMYFUNCTION("""COMPUTED_VALUE"""),"")</f>
        <v/>
      </c>
      <c r="M550" s="7" t="s">
        <v>110</v>
      </c>
      <c r="O550" s="7" t="str">
        <f>IFERROR(__xludf.DUMMYFUNCTION("""COMPUTED_VALUE"""),"")</f>
        <v/>
      </c>
      <c r="Q550" s="7" t="s">
        <v>110</v>
      </c>
      <c r="R550" s="7" t="str">
        <f>IFERROR(__xludf.DUMMYFUNCTION("""COMPUTED_VALUE"""),"")</f>
        <v/>
      </c>
    </row>
    <row r="551">
      <c r="B551" s="8"/>
      <c r="G551" s="7" t="str">
        <f>IFERROR(__xludf.DUMMYFUNCTION("""COMPUTED_VALUE"""),"")</f>
        <v/>
      </c>
      <c r="K551" s="7" t="str">
        <f>IFERROR(__xludf.DUMMYFUNCTION("""COMPUTED_VALUE"""),"")</f>
        <v/>
      </c>
      <c r="M551" s="7" t="s">
        <v>110</v>
      </c>
      <c r="O551" s="7" t="str">
        <f>IFERROR(__xludf.DUMMYFUNCTION("""COMPUTED_VALUE"""),"")</f>
        <v/>
      </c>
      <c r="Q551" s="7" t="s">
        <v>110</v>
      </c>
      <c r="R551" s="7" t="str">
        <f>IFERROR(__xludf.DUMMYFUNCTION("""COMPUTED_VALUE"""),"")</f>
        <v/>
      </c>
    </row>
    <row r="552">
      <c r="B552" s="8"/>
      <c r="G552" s="7" t="str">
        <f>IFERROR(__xludf.DUMMYFUNCTION("""COMPUTED_VALUE"""),"")</f>
        <v/>
      </c>
      <c r="K552" s="7" t="str">
        <f>IFERROR(__xludf.DUMMYFUNCTION("""COMPUTED_VALUE"""),"")</f>
        <v/>
      </c>
      <c r="M552" s="7" t="s">
        <v>110</v>
      </c>
      <c r="O552" s="7" t="str">
        <f>IFERROR(__xludf.DUMMYFUNCTION("""COMPUTED_VALUE"""),"")</f>
        <v/>
      </c>
      <c r="Q552" s="7" t="s">
        <v>110</v>
      </c>
      <c r="R552" s="7" t="str">
        <f>IFERROR(__xludf.DUMMYFUNCTION("""COMPUTED_VALUE"""),"")</f>
        <v/>
      </c>
    </row>
    <row r="553">
      <c r="B553" s="8"/>
      <c r="G553" s="7" t="str">
        <f>IFERROR(__xludf.DUMMYFUNCTION("""COMPUTED_VALUE"""),"")</f>
        <v/>
      </c>
      <c r="K553" s="7" t="str">
        <f>IFERROR(__xludf.DUMMYFUNCTION("""COMPUTED_VALUE"""),"")</f>
        <v/>
      </c>
      <c r="M553" s="7" t="s">
        <v>110</v>
      </c>
      <c r="O553" s="7" t="str">
        <f>IFERROR(__xludf.DUMMYFUNCTION("""COMPUTED_VALUE"""),"")</f>
        <v/>
      </c>
      <c r="Q553" s="7" t="s">
        <v>110</v>
      </c>
      <c r="R553" s="7" t="str">
        <f>IFERROR(__xludf.DUMMYFUNCTION("""COMPUTED_VALUE"""),"")</f>
        <v/>
      </c>
    </row>
    <row r="554">
      <c r="B554" s="8"/>
      <c r="G554" s="7" t="str">
        <f>IFERROR(__xludf.DUMMYFUNCTION("""COMPUTED_VALUE"""),"")</f>
        <v/>
      </c>
      <c r="K554" s="7" t="str">
        <f>IFERROR(__xludf.DUMMYFUNCTION("""COMPUTED_VALUE"""),"")</f>
        <v/>
      </c>
      <c r="M554" s="7" t="s">
        <v>110</v>
      </c>
      <c r="O554" s="7" t="str">
        <f>IFERROR(__xludf.DUMMYFUNCTION("""COMPUTED_VALUE"""),"")</f>
        <v/>
      </c>
      <c r="Q554" s="7" t="s">
        <v>110</v>
      </c>
      <c r="R554" s="7" t="str">
        <f>IFERROR(__xludf.DUMMYFUNCTION("""COMPUTED_VALUE"""),"")</f>
        <v/>
      </c>
    </row>
    <row r="555">
      <c r="B555" s="8"/>
      <c r="G555" s="7" t="str">
        <f>IFERROR(__xludf.DUMMYFUNCTION("""COMPUTED_VALUE"""),"")</f>
        <v/>
      </c>
      <c r="K555" s="7" t="str">
        <f>IFERROR(__xludf.DUMMYFUNCTION("""COMPUTED_VALUE"""),"")</f>
        <v/>
      </c>
      <c r="M555" s="7" t="s">
        <v>110</v>
      </c>
      <c r="O555" s="7" t="str">
        <f>IFERROR(__xludf.DUMMYFUNCTION("""COMPUTED_VALUE"""),"")</f>
        <v/>
      </c>
      <c r="Q555" s="7" t="s">
        <v>110</v>
      </c>
      <c r="R555" s="7" t="str">
        <f>IFERROR(__xludf.DUMMYFUNCTION("""COMPUTED_VALUE"""),"")</f>
        <v/>
      </c>
    </row>
    <row r="556">
      <c r="B556" s="8"/>
      <c r="G556" s="7" t="str">
        <f>IFERROR(__xludf.DUMMYFUNCTION("""COMPUTED_VALUE"""),"")</f>
        <v/>
      </c>
      <c r="K556" s="7" t="str">
        <f>IFERROR(__xludf.DUMMYFUNCTION("""COMPUTED_VALUE"""),"")</f>
        <v/>
      </c>
      <c r="M556" s="7" t="s">
        <v>110</v>
      </c>
      <c r="O556" s="7" t="str">
        <f>IFERROR(__xludf.DUMMYFUNCTION("""COMPUTED_VALUE"""),"")</f>
        <v/>
      </c>
      <c r="Q556" s="7" t="s">
        <v>110</v>
      </c>
      <c r="R556" s="7" t="str">
        <f>IFERROR(__xludf.DUMMYFUNCTION("""COMPUTED_VALUE"""),"")</f>
        <v/>
      </c>
    </row>
    <row r="557">
      <c r="B557" s="8"/>
      <c r="G557" s="7" t="str">
        <f>IFERROR(__xludf.DUMMYFUNCTION("""COMPUTED_VALUE"""),"")</f>
        <v/>
      </c>
      <c r="K557" s="7" t="str">
        <f>IFERROR(__xludf.DUMMYFUNCTION("""COMPUTED_VALUE"""),"")</f>
        <v/>
      </c>
      <c r="M557" s="7" t="s">
        <v>110</v>
      </c>
      <c r="O557" s="7" t="str">
        <f>IFERROR(__xludf.DUMMYFUNCTION("""COMPUTED_VALUE"""),"")</f>
        <v/>
      </c>
      <c r="Q557" s="7" t="s">
        <v>110</v>
      </c>
      <c r="R557" s="7" t="str">
        <f>IFERROR(__xludf.DUMMYFUNCTION("""COMPUTED_VALUE"""),"")</f>
        <v/>
      </c>
    </row>
    <row r="558">
      <c r="B558" s="8"/>
      <c r="G558" s="7" t="str">
        <f>IFERROR(__xludf.DUMMYFUNCTION("""COMPUTED_VALUE"""),"")</f>
        <v/>
      </c>
      <c r="K558" s="7" t="str">
        <f>IFERROR(__xludf.DUMMYFUNCTION("""COMPUTED_VALUE"""),"")</f>
        <v/>
      </c>
      <c r="M558" s="7" t="s">
        <v>110</v>
      </c>
      <c r="O558" s="7" t="str">
        <f>IFERROR(__xludf.DUMMYFUNCTION("""COMPUTED_VALUE"""),"")</f>
        <v/>
      </c>
      <c r="Q558" s="7" t="s">
        <v>110</v>
      </c>
      <c r="R558" s="7" t="str">
        <f>IFERROR(__xludf.DUMMYFUNCTION("""COMPUTED_VALUE"""),"")</f>
        <v/>
      </c>
    </row>
    <row r="559">
      <c r="B559" s="8"/>
      <c r="G559" s="7" t="str">
        <f>IFERROR(__xludf.DUMMYFUNCTION("""COMPUTED_VALUE"""),"")</f>
        <v/>
      </c>
      <c r="K559" s="7" t="str">
        <f>IFERROR(__xludf.DUMMYFUNCTION("""COMPUTED_VALUE"""),"")</f>
        <v/>
      </c>
      <c r="M559" s="7" t="s">
        <v>110</v>
      </c>
      <c r="O559" s="7" t="str">
        <f>IFERROR(__xludf.DUMMYFUNCTION("""COMPUTED_VALUE"""),"")</f>
        <v/>
      </c>
      <c r="Q559" s="7" t="s">
        <v>110</v>
      </c>
      <c r="R559" s="7" t="str">
        <f>IFERROR(__xludf.DUMMYFUNCTION("""COMPUTED_VALUE"""),"")</f>
        <v/>
      </c>
    </row>
    <row r="560">
      <c r="B560" s="8"/>
      <c r="G560" s="7" t="str">
        <f>IFERROR(__xludf.DUMMYFUNCTION("""COMPUTED_VALUE"""),"")</f>
        <v/>
      </c>
      <c r="K560" s="7" t="str">
        <f>IFERROR(__xludf.DUMMYFUNCTION("""COMPUTED_VALUE"""),"")</f>
        <v/>
      </c>
      <c r="M560" s="7" t="s">
        <v>110</v>
      </c>
      <c r="O560" s="7" t="str">
        <f>IFERROR(__xludf.DUMMYFUNCTION("""COMPUTED_VALUE"""),"")</f>
        <v/>
      </c>
      <c r="Q560" s="7" t="s">
        <v>110</v>
      </c>
      <c r="R560" s="7" t="str">
        <f>IFERROR(__xludf.DUMMYFUNCTION("""COMPUTED_VALUE"""),"")</f>
        <v/>
      </c>
    </row>
    <row r="561">
      <c r="B561" s="8"/>
      <c r="G561" s="7" t="str">
        <f>IFERROR(__xludf.DUMMYFUNCTION("""COMPUTED_VALUE"""),"")</f>
        <v/>
      </c>
      <c r="K561" s="7" t="str">
        <f>IFERROR(__xludf.DUMMYFUNCTION("""COMPUTED_VALUE"""),"")</f>
        <v/>
      </c>
      <c r="M561" s="7" t="s">
        <v>110</v>
      </c>
      <c r="O561" s="7" t="str">
        <f>IFERROR(__xludf.DUMMYFUNCTION("""COMPUTED_VALUE"""),"")</f>
        <v/>
      </c>
      <c r="Q561" s="7" t="s">
        <v>110</v>
      </c>
      <c r="R561" s="7" t="str">
        <f>IFERROR(__xludf.DUMMYFUNCTION("""COMPUTED_VALUE"""),"")</f>
        <v/>
      </c>
    </row>
    <row r="562">
      <c r="B562" s="8"/>
      <c r="G562" s="7" t="str">
        <f>IFERROR(__xludf.DUMMYFUNCTION("""COMPUTED_VALUE"""),"")</f>
        <v/>
      </c>
      <c r="K562" s="7" t="str">
        <f>IFERROR(__xludf.DUMMYFUNCTION("""COMPUTED_VALUE"""),"")</f>
        <v/>
      </c>
      <c r="M562" s="7" t="s">
        <v>110</v>
      </c>
      <c r="O562" s="7" t="str">
        <f>IFERROR(__xludf.DUMMYFUNCTION("""COMPUTED_VALUE"""),"")</f>
        <v/>
      </c>
      <c r="Q562" s="7" t="s">
        <v>110</v>
      </c>
      <c r="R562" s="7" t="str">
        <f>IFERROR(__xludf.DUMMYFUNCTION("""COMPUTED_VALUE"""),"")</f>
        <v/>
      </c>
    </row>
    <row r="563">
      <c r="B563" s="8"/>
      <c r="G563" s="7" t="str">
        <f>IFERROR(__xludf.DUMMYFUNCTION("""COMPUTED_VALUE"""),"")</f>
        <v/>
      </c>
      <c r="K563" s="7" t="str">
        <f>IFERROR(__xludf.DUMMYFUNCTION("""COMPUTED_VALUE"""),"")</f>
        <v/>
      </c>
      <c r="M563" s="7" t="s">
        <v>110</v>
      </c>
      <c r="O563" s="7" t="str">
        <f>IFERROR(__xludf.DUMMYFUNCTION("""COMPUTED_VALUE"""),"")</f>
        <v/>
      </c>
      <c r="Q563" s="7" t="s">
        <v>110</v>
      </c>
      <c r="R563" s="7" t="str">
        <f>IFERROR(__xludf.DUMMYFUNCTION("""COMPUTED_VALUE"""),"")</f>
        <v/>
      </c>
    </row>
    <row r="564">
      <c r="B564" s="8"/>
      <c r="G564" s="7" t="str">
        <f>IFERROR(__xludf.DUMMYFUNCTION("""COMPUTED_VALUE"""),"")</f>
        <v/>
      </c>
      <c r="K564" s="7" t="str">
        <f>IFERROR(__xludf.DUMMYFUNCTION("""COMPUTED_VALUE"""),"")</f>
        <v/>
      </c>
      <c r="M564" s="7" t="s">
        <v>110</v>
      </c>
      <c r="O564" s="7" t="str">
        <f>IFERROR(__xludf.DUMMYFUNCTION("""COMPUTED_VALUE"""),"")</f>
        <v/>
      </c>
      <c r="Q564" s="7" t="s">
        <v>110</v>
      </c>
      <c r="R564" s="7" t="str">
        <f>IFERROR(__xludf.DUMMYFUNCTION("""COMPUTED_VALUE"""),"")</f>
        <v/>
      </c>
    </row>
    <row r="565">
      <c r="B565" s="8"/>
      <c r="G565" s="7" t="str">
        <f>IFERROR(__xludf.DUMMYFUNCTION("""COMPUTED_VALUE"""),"")</f>
        <v/>
      </c>
      <c r="K565" s="7" t="str">
        <f>IFERROR(__xludf.DUMMYFUNCTION("""COMPUTED_VALUE"""),"")</f>
        <v/>
      </c>
      <c r="M565" s="7" t="s">
        <v>110</v>
      </c>
      <c r="O565" s="7" t="str">
        <f>IFERROR(__xludf.DUMMYFUNCTION("""COMPUTED_VALUE"""),"")</f>
        <v/>
      </c>
      <c r="Q565" s="7" t="s">
        <v>110</v>
      </c>
      <c r="R565" s="7" t="str">
        <f>IFERROR(__xludf.DUMMYFUNCTION("""COMPUTED_VALUE"""),"")</f>
        <v/>
      </c>
    </row>
    <row r="566">
      <c r="B566" s="8"/>
      <c r="G566" s="7" t="str">
        <f>IFERROR(__xludf.DUMMYFUNCTION("""COMPUTED_VALUE"""),"")</f>
        <v/>
      </c>
      <c r="K566" s="7" t="str">
        <f>IFERROR(__xludf.DUMMYFUNCTION("""COMPUTED_VALUE"""),"")</f>
        <v/>
      </c>
      <c r="M566" s="7" t="s">
        <v>110</v>
      </c>
      <c r="O566" s="7" t="str">
        <f>IFERROR(__xludf.DUMMYFUNCTION("""COMPUTED_VALUE"""),"")</f>
        <v/>
      </c>
      <c r="Q566" s="7" t="s">
        <v>110</v>
      </c>
      <c r="R566" s="7" t="str">
        <f>IFERROR(__xludf.DUMMYFUNCTION("""COMPUTED_VALUE"""),"")</f>
        <v/>
      </c>
    </row>
    <row r="567">
      <c r="B567" s="8"/>
      <c r="G567" s="7" t="str">
        <f>IFERROR(__xludf.DUMMYFUNCTION("""COMPUTED_VALUE"""),"")</f>
        <v/>
      </c>
      <c r="K567" s="7" t="str">
        <f>IFERROR(__xludf.DUMMYFUNCTION("""COMPUTED_VALUE"""),"")</f>
        <v/>
      </c>
      <c r="M567" s="7" t="s">
        <v>110</v>
      </c>
      <c r="O567" s="7" t="str">
        <f>IFERROR(__xludf.DUMMYFUNCTION("""COMPUTED_VALUE"""),"")</f>
        <v/>
      </c>
      <c r="Q567" s="7" t="s">
        <v>110</v>
      </c>
      <c r="R567" s="7" t="str">
        <f>IFERROR(__xludf.DUMMYFUNCTION("""COMPUTED_VALUE"""),"")</f>
        <v/>
      </c>
    </row>
    <row r="568">
      <c r="B568" s="8"/>
      <c r="G568" s="7" t="str">
        <f>IFERROR(__xludf.DUMMYFUNCTION("""COMPUTED_VALUE"""),"")</f>
        <v/>
      </c>
      <c r="K568" s="7" t="str">
        <f>IFERROR(__xludf.DUMMYFUNCTION("""COMPUTED_VALUE"""),"")</f>
        <v/>
      </c>
      <c r="M568" s="7" t="s">
        <v>110</v>
      </c>
      <c r="O568" s="7" t="str">
        <f>IFERROR(__xludf.DUMMYFUNCTION("""COMPUTED_VALUE"""),"")</f>
        <v/>
      </c>
      <c r="Q568" s="7" t="s">
        <v>110</v>
      </c>
      <c r="R568" s="7" t="str">
        <f>IFERROR(__xludf.DUMMYFUNCTION("""COMPUTED_VALUE"""),"")</f>
        <v/>
      </c>
    </row>
    <row r="569">
      <c r="B569" s="8"/>
      <c r="G569" s="7" t="str">
        <f>IFERROR(__xludf.DUMMYFUNCTION("""COMPUTED_VALUE"""),"")</f>
        <v/>
      </c>
      <c r="K569" s="7" t="str">
        <f>IFERROR(__xludf.DUMMYFUNCTION("""COMPUTED_VALUE"""),"")</f>
        <v/>
      </c>
      <c r="M569" s="7" t="s">
        <v>110</v>
      </c>
      <c r="O569" s="7" t="str">
        <f>IFERROR(__xludf.DUMMYFUNCTION("""COMPUTED_VALUE"""),"")</f>
        <v/>
      </c>
      <c r="Q569" s="7" t="s">
        <v>110</v>
      </c>
      <c r="R569" s="7" t="str">
        <f>IFERROR(__xludf.DUMMYFUNCTION("""COMPUTED_VALUE"""),"")</f>
        <v/>
      </c>
    </row>
    <row r="570">
      <c r="B570" s="8"/>
      <c r="G570" s="7" t="str">
        <f>IFERROR(__xludf.DUMMYFUNCTION("""COMPUTED_VALUE"""),"")</f>
        <v/>
      </c>
      <c r="K570" s="7" t="str">
        <f>IFERROR(__xludf.DUMMYFUNCTION("""COMPUTED_VALUE"""),"")</f>
        <v/>
      </c>
      <c r="M570" s="7" t="s">
        <v>110</v>
      </c>
      <c r="O570" s="7" t="str">
        <f>IFERROR(__xludf.DUMMYFUNCTION("""COMPUTED_VALUE"""),"")</f>
        <v/>
      </c>
      <c r="Q570" s="7" t="s">
        <v>110</v>
      </c>
      <c r="R570" s="7" t="str">
        <f>IFERROR(__xludf.DUMMYFUNCTION("""COMPUTED_VALUE"""),"")</f>
        <v/>
      </c>
    </row>
    <row r="571">
      <c r="B571" s="8"/>
      <c r="G571" s="7" t="str">
        <f>IFERROR(__xludf.DUMMYFUNCTION("""COMPUTED_VALUE"""),"")</f>
        <v/>
      </c>
      <c r="K571" s="7" t="str">
        <f>IFERROR(__xludf.DUMMYFUNCTION("""COMPUTED_VALUE"""),"")</f>
        <v/>
      </c>
      <c r="M571" s="7" t="s">
        <v>110</v>
      </c>
      <c r="O571" s="7" t="str">
        <f>IFERROR(__xludf.DUMMYFUNCTION("""COMPUTED_VALUE"""),"")</f>
        <v/>
      </c>
      <c r="Q571" s="7" t="s">
        <v>110</v>
      </c>
      <c r="R571" s="7" t="str">
        <f>IFERROR(__xludf.DUMMYFUNCTION("""COMPUTED_VALUE"""),"")</f>
        <v/>
      </c>
    </row>
    <row r="572">
      <c r="B572" s="8"/>
      <c r="G572" s="7" t="str">
        <f>IFERROR(__xludf.DUMMYFUNCTION("""COMPUTED_VALUE"""),"")</f>
        <v/>
      </c>
      <c r="K572" s="7" t="str">
        <f>IFERROR(__xludf.DUMMYFUNCTION("""COMPUTED_VALUE"""),"")</f>
        <v/>
      </c>
      <c r="M572" s="7" t="s">
        <v>110</v>
      </c>
      <c r="O572" s="7" t="str">
        <f>IFERROR(__xludf.DUMMYFUNCTION("""COMPUTED_VALUE"""),"")</f>
        <v/>
      </c>
      <c r="Q572" s="7" t="s">
        <v>110</v>
      </c>
      <c r="R572" s="7" t="str">
        <f>IFERROR(__xludf.DUMMYFUNCTION("""COMPUTED_VALUE"""),"")</f>
        <v/>
      </c>
    </row>
    <row r="573">
      <c r="B573" s="8"/>
      <c r="G573" s="7" t="str">
        <f>IFERROR(__xludf.DUMMYFUNCTION("""COMPUTED_VALUE"""),"")</f>
        <v/>
      </c>
      <c r="K573" s="7" t="str">
        <f>IFERROR(__xludf.DUMMYFUNCTION("""COMPUTED_VALUE"""),"")</f>
        <v/>
      </c>
      <c r="M573" s="7" t="s">
        <v>110</v>
      </c>
      <c r="O573" s="7" t="str">
        <f>IFERROR(__xludf.DUMMYFUNCTION("""COMPUTED_VALUE"""),"")</f>
        <v/>
      </c>
      <c r="Q573" s="7" t="s">
        <v>110</v>
      </c>
      <c r="R573" s="7" t="str">
        <f>IFERROR(__xludf.DUMMYFUNCTION("""COMPUTED_VALUE"""),"")</f>
        <v/>
      </c>
    </row>
    <row r="574">
      <c r="B574" s="8"/>
      <c r="G574" s="7" t="str">
        <f>IFERROR(__xludf.DUMMYFUNCTION("""COMPUTED_VALUE"""),"")</f>
        <v/>
      </c>
      <c r="K574" s="7" t="str">
        <f>IFERROR(__xludf.DUMMYFUNCTION("""COMPUTED_VALUE"""),"")</f>
        <v/>
      </c>
      <c r="M574" s="7" t="s">
        <v>110</v>
      </c>
      <c r="O574" s="7" t="str">
        <f>IFERROR(__xludf.DUMMYFUNCTION("""COMPUTED_VALUE"""),"")</f>
        <v/>
      </c>
      <c r="Q574" s="7" t="s">
        <v>110</v>
      </c>
      <c r="R574" s="7" t="str">
        <f>IFERROR(__xludf.DUMMYFUNCTION("""COMPUTED_VALUE"""),"")</f>
        <v/>
      </c>
    </row>
    <row r="575">
      <c r="B575" s="8"/>
      <c r="G575" s="7" t="str">
        <f>IFERROR(__xludf.DUMMYFUNCTION("""COMPUTED_VALUE"""),"")</f>
        <v/>
      </c>
      <c r="K575" s="7" t="str">
        <f>IFERROR(__xludf.DUMMYFUNCTION("""COMPUTED_VALUE"""),"")</f>
        <v/>
      </c>
      <c r="M575" s="7" t="s">
        <v>110</v>
      </c>
      <c r="O575" s="7" t="str">
        <f>IFERROR(__xludf.DUMMYFUNCTION("""COMPUTED_VALUE"""),"")</f>
        <v/>
      </c>
      <c r="Q575" s="7" t="s">
        <v>110</v>
      </c>
      <c r="R575" s="7" t="str">
        <f>IFERROR(__xludf.DUMMYFUNCTION("""COMPUTED_VALUE"""),"")</f>
        <v/>
      </c>
    </row>
    <row r="576">
      <c r="B576" s="8"/>
      <c r="G576" s="7" t="str">
        <f>IFERROR(__xludf.DUMMYFUNCTION("""COMPUTED_VALUE"""),"")</f>
        <v/>
      </c>
      <c r="K576" s="7" t="str">
        <f>IFERROR(__xludf.DUMMYFUNCTION("""COMPUTED_VALUE"""),"")</f>
        <v/>
      </c>
      <c r="M576" s="7" t="s">
        <v>110</v>
      </c>
      <c r="O576" s="7" t="str">
        <f>IFERROR(__xludf.DUMMYFUNCTION("""COMPUTED_VALUE"""),"")</f>
        <v/>
      </c>
      <c r="Q576" s="7" t="s">
        <v>110</v>
      </c>
      <c r="R576" s="7" t="str">
        <f>IFERROR(__xludf.DUMMYFUNCTION("""COMPUTED_VALUE"""),"")</f>
        <v/>
      </c>
    </row>
    <row r="577">
      <c r="B577" s="8"/>
      <c r="G577" s="7" t="str">
        <f>IFERROR(__xludf.DUMMYFUNCTION("""COMPUTED_VALUE"""),"")</f>
        <v/>
      </c>
      <c r="K577" s="7" t="str">
        <f>IFERROR(__xludf.DUMMYFUNCTION("""COMPUTED_VALUE"""),"")</f>
        <v/>
      </c>
      <c r="M577" s="7" t="s">
        <v>110</v>
      </c>
      <c r="O577" s="7" t="str">
        <f>IFERROR(__xludf.DUMMYFUNCTION("""COMPUTED_VALUE"""),"")</f>
        <v/>
      </c>
      <c r="Q577" s="7" t="s">
        <v>110</v>
      </c>
      <c r="R577" s="7" t="str">
        <f>IFERROR(__xludf.DUMMYFUNCTION("""COMPUTED_VALUE"""),"")</f>
        <v/>
      </c>
    </row>
    <row r="578">
      <c r="B578" s="8"/>
      <c r="G578" s="7" t="str">
        <f>IFERROR(__xludf.DUMMYFUNCTION("""COMPUTED_VALUE"""),"")</f>
        <v/>
      </c>
      <c r="K578" s="7" t="str">
        <f>IFERROR(__xludf.DUMMYFUNCTION("""COMPUTED_VALUE"""),"")</f>
        <v/>
      </c>
      <c r="M578" s="7" t="s">
        <v>110</v>
      </c>
      <c r="O578" s="7" t="str">
        <f>IFERROR(__xludf.DUMMYFUNCTION("""COMPUTED_VALUE"""),"")</f>
        <v/>
      </c>
      <c r="Q578" s="7" t="s">
        <v>110</v>
      </c>
      <c r="R578" s="7" t="str">
        <f>IFERROR(__xludf.DUMMYFUNCTION("""COMPUTED_VALUE"""),"")</f>
        <v/>
      </c>
    </row>
    <row r="579">
      <c r="B579" s="8"/>
      <c r="G579" s="7" t="str">
        <f>IFERROR(__xludf.DUMMYFUNCTION("""COMPUTED_VALUE"""),"")</f>
        <v/>
      </c>
      <c r="K579" s="7" t="str">
        <f>IFERROR(__xludf.DUMMYFUNCTION("""COMPUTED_VALUE"""),"")</f>
        <v/>
      </c>
      <c r="M579" s="7" t="s">
        <v>110</v>
      </c>
      <c r="O579" s="7" t="str">
        <f>IFERROR(__xludf.DUMMYFUNCTION("""COMPUTED_VALUE"""),"")</f>
        <v/>
      </c>
      <c r="Q579" s="7" t="s">
        <v>110</v>
      </c>
      <c r="R579" s="7" t="str">
        <f>IFERROR(__xludf.DUMMYFUNCTION("""COMPUTED_VALUE"""),"")</f>
        <v/>
      </c>
    </row>
    <row r="580">
      <c r="B580" s="8"/>
      <c r="G580" s="7" t="str">
        <f>IFERROR(__xludf.DUMMYFUNCTION("""COMPUTED_VALUE"""),"")</f>
        <v/>
      </c>
      <c r="K580" s="7" t="str">
        <f>IFERROR(__xludf.DUMMYFUNCTION("""COMPUTED_VALUE"""),"")</f>
        <v/>
      </c>
      <c r="M580" s="7" t="s">
        <v>110</v>
      </c>
      <c r="O580" s="7" t="str">
        <f>IFERROR(__xludf.DUMMYFUNCTION("""COMPUTED_VALUE"""),"")</f>
        <v/>
      </c>
      <c r="Q580" s="7" t="s">
        <v>110</v>
      </c>
      <c r="R580" s="7" t="str">
        <f>IFERROR(__xludf.DUMMYFUNCTION("""COMPUTED_VALUE"""),"")</f>
        <v/>
      </c>
    </row>
    <row r="581">
      <c r="B581" s="8"/>
      <c r="G581" s="7" t="str">
        <f>IFERROR(__xludf.DUMMYFUNCTION("""COMPUTED_VALUE"""),"")</f>
        <v/>
      </c>
      <c r="K581" s="7" t="str">
        <f>IFERROR(__xludf.DUMMYFUNCTION("""COMPUTED_VALUE"""),"")</f>
        <v/>
      </c>
      <c r="M581" s="7" t="s">
        <v>110</v>
      </c>
      <c r="O581" s="7" t="str">
        <f>IFERROR(__xludf.DUMMYFUNCTION("""COMPUTED_VALUE"""),"")</f>
        <v/>
      </c>
      <c r="Q581" s="7" t="s">
        <v>110</v>
      </c>
      <c r="R581" s="7" t="str">
        <f>IFERROR(__xludf.DUMMYFUNCTION("""COMPUTED_VALUE"""),"")</f>
        <v/>
      </c>
    </row>
    <row r="582">
      <c r="B582" s="8"/>
      <c r="G582" s="7" t="str">
        <f>IFERROR(__xludf.DUMMYFUNCTION("""COMPUTED_VALUE"""),"")</f>
        <v/>
      </c>
      <c r="K582" s="7" t="str">
        <f>IFERROR(__xludf.DUMMYFUNCTION("""COMPUTED_VALUE"""),"")</f>
        <v/>
      </c>
      <c r="M582" s="7" t="s">
        <v>110</v>
      </c>
      <c r="O582" s="7" t="str">
        <f>IFERROR(__xludf.DUMMYFUNCTION("""COMPUTED_VALUE"""),"")</f>
        <v/>
      </c>
      <c r="Q582" s="7" t="s">
        <v>110</v>
      </c>
      <c r="R582" s="7" t="str">
        <f>IFERROR(__xludf.DUMMYFUNCTION("""COMPUTED_VALUE"""),"")</f>
        <v/>
      </c>
    </row>
    <row r="583">
      <c r="B583" s="8"/>
      <c r="G583" s="7" t="str">
        <f>IFERROR(__xludf.DUMMYFUNCTION("""COMPUTED_VALUE"""),"")</f>
        <v/>
      </c>
      <c r="K583" s="7" t="str">
        <f>IFERROR(__xludf.DUMMYFUNCTION("""COMPUTED_VALUE"""),"")</f>
        <v/>
      </c>
      <c r="M583" s="7" t="s">
        <v>110</v>
      </c>
      <c r="O583" s="7" t="str">
        <f>IFERROR(__xludf.DUMMYFUNCTION("""COMPUTED_VALUE"""),"")</f>
        <v/>
      </c>
      <c r="Q583" s="7" t="s">
        <v>110</v>
      </c>
      <c r="R583" s="7" t="str">
        <f>IFERROR(__xludf.DUMMYFUNCTION("""COMPUTED_VALUE"""),"")</f>
        <v/>
      </c>
    </row>
    <row r="584">
      <c r="B584" s="8"/>
      <c r="G584" s="7" t="str">
        <f>IFERROR(__xludf.DUMMYFUNCTION("""COMPUTED_VALUE"""),"")</f>
        <v/>
      </c>
      <c r="K584" s="7" t="str">
        <f>IFERROR(__xludf.DUMMYFUNCTION("""COMPUTED_VALUE"""),"")</f>
        <v/>
      </c>
      <c r="M584" s="7" t="s">
        <v>110</v>
      </c>
      <c r="O584" s="7" t="str">
        <f>IFERROR(__xludf.DUMMYFUNCTION("""COMPUTED_VALUE"""),"")</f>
        <v/>
      </c>
      <c r="Q584" s="7" t="s">
        <v>110</v>
      </c>
      <c r="R584" s="7" t="str">
        <f>IFERROR(__xludf.DUMMYFUNCTION("""COMPUTED_VALUE"""),"")</f>
        <v/>
      </c>
    </row>
    <row r="585">
      <c r="B585" s="8"/>
      <c r="G585" s="7" t="str">
        <f>IFERROR(__xludf.DUMMYFUNCTION("""COMPUTED_VALUE"""),"")</f>
        <v/>
      </c>
      <c r="K585" s="7" t="str">
        <f>IFERROR(__xludf.DUMMYFUNCTION("""COMPUTED_VALUE"""),"")</f>
        <v/>
      </c>
      <c r="M585" s="7" t="s">
        <v>110</v>
      </c>
      <c r="O585" s="7" t="str">
        <f>IFERROR(__xludf.DUMMYFUNCTION("""COMPUTED_VALUE"""),"")</f>
        <v/>
      </c>
      <c r="Q585" s="7" t="s">
        <v>110</v>
      </c>
      <c r="R585" s="7" t="str">
        <f>IFERROR(__xludf.DUMMYFUNCTION("""COMPUTED_VALUE"""),"")</f>
        <v/>
      </c>
    </row>
    <row r="586">
      <c r="B586" s="8"/>
      <c r="G586" s="7" t="str">
        <f>IFERROR(__xludf.DUMMYFUNCTION("""COMPUTED_VALUE"""),"")</f>
        <v/>
      </c>
      <c r="K586" s="7" t="str">
        <f>IFERROR(__xludf.DUMMYFUNCTION("""COMPUTED_VALUE"""),"")</f>
        <v/>
      </c>
      <c r="M586" s="7" t="s">
        <v>110</v>
      </c>
      <c r="O586" s="7" t="str">
        <f>IFERROR(__xludf.DUMMYFUNCTION("""COMPUTED_VALUE"""),"")</f>
        <v/>
      </c>
      <c r="Q586" s="7" t="s">
        <v>110</v>
      </c>
      <c r="R586" s="7" t="str">
        <f>IFERROR(__xludf.DUMMYFUNCTION("""COMPUTED_VALUE"""),"")</f>
        <v/>
      </c>
    </row>
    <row r="587">
      <c r="B587" s="8"/>
      <c r="G587" s="7" t="str">
        <f>IFERROR(__xludf.DUMMYFUNCTION("""COMPUTED_VALUE"""),"")</f>
        <v/>
      </c>
      <c r="K587" s="7" t="str">
        <f>IFERROR(__xludf.DUMMYFUNCTION("""COMPUTED_VALUE"""),"")</f>
        <v/>
      </c>
      <c r="M587" s="7" t="s">
        <v>110</v>
      </c>
      <c r="O587" s="7" t="str">
        <f>IFERROR(__xludf.DUMMYFUNCTION("""COMPUTED_VALUE"""),"")</f>
        <v/>
      </c>
      <c r="Q587" s="7" t="s">
        <v>110</v>
      </c>
      <c r="R587" s="7" t="str">
        <f>IFERROR(__xludf.DUMMYFUNCTION("""COMPUTED_VALUE"""),"")</f>
        <v/>
      </c>
    </row>
    <row r="588">
      <c r="B588" s="8"/>
      <c r="G588" s="7" t="str">
        <f>IFERROR(__xludf.DUMMYFUNCTION("""COMPUTED_VALUE"""),"")</f>
        <v/>
      </c>
      <c r="K588" s="7" t="str">
        <f>IFERROR(__xludf.DUMMYFUNCTION("""COMPUTED_VALUE"""),"")</f>
        <v/>
      </c>
      <c r="M588" s="7" t="s">
        <v>110</v>
      </c>
      <c r="O588" s="7" t="str">
        <f>IFERROR(__xludf.DUMMYFUNCTION("""COMPUTED_VALUE"""),"")</f>
        <v/>
      </c>
      <c r="Q588" s="7" t="s">
        <v>110</v>
      </c>
      <c r="R588" s="7" t="str">
        <f>IFERROR(__xludf.DUMMYFUNCTION("""COMPUTED_VALUE"""),"")</f>
        <v/>
      </c>
    </row>
    <row r="589">
      <c r="B589" s="8"/>
      <c r="G589" s="7" t="str">
        <f>IFERROR(__xludf.DUMMYFUNCTION("""COMPUTED_VALUE"""),"")</f>
        <v/>
      </c>
      <c r="K589" s="7" t="str">
        <f>IFERROR(__xludf.DUMMYFUNCTION("""COMPUTED_VALUE"""),"")</f>
        <v/>
      </c>
      <c r="M589" s="7" t="s">
        <v>110</v>
      </c>
      <c r="O589" s="7" t="str">
        <f>IFERROR(__xludf.DUMMYFUNCTION("""COMPUTED_VALUE"""),"")</f>
        <v/>
      </c>
      <c r="Q589" s="7" t="s">
        <v>110</v>
      </c>
      <c r="R589" s="7" t="str">
        <f>IFERROR(__xludf.DUMMYFUNCTION("""COMPUTED_VALUE"""),"")</f>
        <v/>
      </c>
    </row>
    <row r="590">
      <c r="B590" s="8"/>
      <c r="G590" s="7" t="str">
        <f>IFERROR(__xludf.DUMMYFUNCTION("""COMPUTED_VALUE"""),"")</f>
        <v/>
      </c>
      <c r="K590" s="7" t="str">
        <f>IFERROR(__xludf.DUMMYFUNCTION("""COMPUTED_VALUE"""),"")</f>
        <v/>
      </c>
      <c r="M590" s="7" t="s">
        <v>110</v>
      </c>
      <c r="O590" s="7" t="str">
        <f>IFERROR(__xludf.DUMMYFUNCTION("""COMPUTED_VALUE"""),"")</f>
        <v/>
      </c>
      <c r="Q590" s="7" t="s">
        <v>110</v>
      </c>
      <c r="R590" s="7" t="str">
        <f>IFERROR(__xludf.DUMMYFUNCTION("""COMPUTED_VALUE"""),"")</f>
        <v/>
      </c>
    </row>
    <row r="591">
      <c r="B591" s="8"/>
      <c r="G591" s="7" t="str">
        <f>IFERROR(__xludf.DUMMYFUNCTION("""COMPUTED_VALUE"""),"")</f>
        <v/>
      </c>
      <c r="K591" s="7" t="str">
        <f>IFERROR(__xludf.DUMMYFUNCTION("""COMPUTED_VALUE"""),"")</f>
        <v/>
      </c>
      <c r="M591" s="7" t="s">
        <v>110</v>
      </c>
      <c r="O591" s="7" t="str">
        <f>IFERROR(__xludf.DUMMYFUNCTION("""COMPUTED_VALUE"""),"")</f>
        <v/>
      </c>
      <c r="Q591" s="7" t="s">
        <v>110</v>
      </c>
      <c r="R591" s="7" t="str">
        <f>IFERROR(__xludf.DUMMYFUNCTION("""COMPUTED_VALUE"""),"")</f>
        <v/>
      </c>
    </row>
    <row r="592">
      <c r="B592" s="8"/>
      <c r="G592" s="7" t="str">
        <f>IFERROR(__xludf.DUMMYFUNCTION("""COMPUTED_VALUE"""),"")</f>
        <v/>
      </c>
      <c r="K592" s="7" t="str">
        <f>IFERROR(__xludf.DUMMYFUNCTION("""COMPUTED_VALUE"""),"")</f>
        <v/>
      </c>
      <c r="M592" s="7" t="s">
        <v>110</v>
      </c>
      <c r="O592" s="7" t="str">
        <f>IFERROR(__xludf.DUMMYFUNCTION("""COMPUTED_VALUE"""),"")</f>
        <v/>
      </c>
      <c r="Q592" s="7" t="s">
        <v>110</v>
      </c>
      <c r="R592" s="7" t="str">
        <f>IFERROR(__xludf.DUMMYFUNCTION("""COMPUTED_VALUE"""),"")</f>
        <v/>
      </c>
    </row>
    <row r="593">
      <c r="B593" s="8"/>
      <c r="G593" s="7" t="str">
        <f>IFERROR(__xludf.DUMMYFUNCTION("""COMPUTED_VALUE"""),"")</f>
        <v/>
      </c>
      <c r="K593" s="7" t="str">
        <f>IFERROR(__xludf.DUMMYFUNCTION("""COMPUTED_VALUE"""),"")</f>
        <v/>
      </c>
      <c r="M593" s="7" t="s">
        <v>110</v>
      </c>
      <c r="O593" s="7" t="str">
        <f>IFERROR(__xludf.DUMMYFUNCTION("""COMPUTED_VALUE"""),"")</f>
        <v/>
      </c>
      <c r="Q593" s="7" t="s">
        <v>110</v>
      </c>
      <c r="R593" s="7" t="str">
        <f>IFERROR(__xludf.DUMMYFUNCTION("""COMPUTED_VALUE"""),"")</f>
        <v/>
      </c>
    </row>
    <row r="594">
      <c r="B594" s="8"/>
      <c r="G594" s="7" t="str">
        <f>IFERROR(__xludf.DUMMYFUNCTION("""COMPUTED_VALUE"""),"")</f>
        <v/>
      </c>
      <c r="K594" s="7" t="str">
        <f>IFERROR(__xludf.DUMMYFUNCTION("""COMPUTED_VALUE"""),"")</f>
        <v/>
      </c>
      <c r="M594" s="7" t="s">
        <v>110</v>
      </c>
      <c r="O594" s="7" t="str">
        <f>IFERROR(__xludf.DUMMYFUNCTION("""COMPUTED_VALUE"""),"")</f>
        <v/>
      </c>
      <c r="Q594" s="7" t="s">
        <v>110</v>
      </c>
      <c r="R594" s="7" t="str">
        <f>IFERROR(__xludf.DUMMYFUNCTION("""COMPUTED_VALUE"""),"")</f>
        <v/>
      </c>
    </row>
    <row r="595">
      <c r="B595" s="8"/>
      <c r="G595" s="7" t="str">
        <f>IFERROR(__xludf.DUMMYFUNCTION("""COMPUTED_VALUE"""),"")</f>
        <v/>
      </c>
      <c r="K595" s="7" t="str">
        <f>IFERROR(__xludf.DUMMYFUNCTION("""COMPUTED_VALUE"""),"")</f>
        <v/>
      </c>
      <c r="M595" s="7" t="s">
        <v>110</v>
      </c>
      <c r="O595" s="7" t="str">
        <f>IFERROR(__xludf.DUMMYFUNCTION("""COMPUTED_VALUE"""),"")</f>
        <v/>
      </c>
      <c r="Q595" s="7" t="s">
        <v>110</v>
      </c>
      <c r="R595" s="7" t="str">
        <f>IFERROR(__xludf.DUMMYFUNCTION("""COMPUTED_VALUE"""),"")</f>
        <v/>
      </c>
    </row>
    <row r="596">
      <c r="B596" s="8"/>
      <c r="G596" s="7" t="str">
        <f>IFERROR(__xludf.DUMMYFUNCTION("""COMPUTED_VALUE"""),"")</f>
        <v/>
      </c>
      <c r="K596" s="7" t="str">
        <f>IFERROR(__xludf.DUMMYFUNCTION("""COMPUTED_VALUE"""),"")</f>
        <v/>
      </c>
      <c r="M596" s="7" t="s">
        <v>110</v>
      </c>
      <c r="O596" s="7" t="str">
        <f>IFERROR(__xludf.DUMMYFUNCTION("""COMPUTED_VALUE"""),"")</f>
        <v/>
      </c>
      <c r="Q596" s="7" t="s">
        <v>110</v>
      </c>
      <c r="R596" s="7" t="str">
        <f>IFERROR(__xludf.DUMMYFUNCTION("""COMPUTED_VALUE"""),"")</f>
        <v/>
      </c>
    </row>
    <row r="597">
      <c r="B597" s="8"/>
      <c r="G597" s="7" t="str">
        <f>IFERROR(__xludf.DUMMYFUNCTION("""COMPUTED_VALUE"""),"")</f>
        <v/>
      </c>
      <c r="K597" s="7" t="str">
        <f>IFERROR(__xludf.DUMMYFUNCTION("""COMPUTED_VALUE"""),"")</f>
        <v/>
      </c>
      <c r="M597" s="7" t="s">
        <v>110</v>
      </c>
      <c r="O597" s="7" t="str">
        <f>IFERROR(__xludf.DUMMYFUNCTION("""COMPUTED_VALUE"""),"")</f>
        <v/>
      </c>
      <c r="Q597" s="7" t="s">
        <v>110</v>
      </c>
      <c r="R597" s="7" t="str">
        <f>IFERROR(__xludf.DUMMYFUNCTION("""COMPUTED_VALUE"""),"")</f>
        <v/>
      </c>
    </row>
    <row r="598">
      <c r="B598" s="8"/>
      <c r="G598" s="7" t="str">
        <f>IFERROR(__xludf.DUMMYFUNCTION("""COMPUTED_VALUE"""),"")</f>
        <v/>
      </c>
      <c r="K598" s="7" t="str">
        <f>IFERROR(__xludf.DUMMYFUNCTION("""COMPUTED_VALUE"""),"")</f>
        <v/>
      </c>
      <c r="M598" s="7" t="s">
        <v>110</v>
      </c>
      <c r="O598" s="7" t="str">
        <f>IFERROR(__xludf.DUMMYFUNCTION("""COMPUTED_VALUE"""),"")</f>
        <v/>
      </c>
      <c r="Q598" s="7" t="s">
        <v>110</v>
      </c>
      <c r="R598" s="7" t="str">
        <f>IFERROR(__xludf.DUMMYFUNCTION("""COMPUTED_VALUE"""),"")</f>
        <v/>
      </c>
    </row>
    <row r="599">
      <c r="B599" s="8"/>
      <c r="G599" s="7" t="str">
        <f>IFERROR(__xludf.DUMMYFUNCTION("""COMPUTED_VALUE"""),"")</f>
        <v/>
      </c>
      <c r="K599" s="7" t="str">
        <f>IFERROR(__xludf.DUMMYFUNCTION("""COMPUTED_VALUE"""),"")</f>
        <v/>
      </c>
      <c r="M599" s="7" t="s">
        <v>110</v>
      </c>
      <c r="O599" s="7" t="str">
        <f>IFERROR(__xludf.DUMMYFUNCTION("""COMPUTED_VALUE"""),"")</f>
        <v/>
      </c>
      <c r="Q599" s="7" t="s">
        <v>110</v>
      </c>
      <c r="R599" s="7" t="str">
        <f>IFERROR(__xludf.DUMMYFUNCTION("""COMPUTED_VALUE"""),"")</f>
        <v/>
      </c>
    </row>
    <row r="600">
      <c r="B600" s="8"/>
      <c r="G600" s="7" t="str">
        <f>IFERROR(__xludf.DUMMYFUNCTION("""COMPUTED_VALUE"""),"")</f>
        <v/>
      </c>
      <c r="K600" s="7" t="str">
        <f>IFERROR(__xludf.DUMMYFUNCTION("""COMPUTED_VALUE"""),"")</f>
        <v/>
      </c>
      <c r="M600" s="7" t="s">
        <v>110</v>
      </c>
      <c r="O600" s="7" t="str">
        <f>IFERROR(__xludf.DUMMYFUNCTION("""COMPUTED_VALUE"""),"")</f>
        <v/>
      </c>
      <c r="Q600" s="7" t="s">
        <v>110</v>
      </c>
      <c r="R600" s="7" t="str">
        <f>IFERROR(__xludf.DUMMYFUNCTION("""COMPUTED_VALUE"""),"")</f>
        <v/>
      </c>
    </row>
    <row r="601">
      <c r="B601" s="8"/>
      <c r="G601" s="7" t="str">
        <f>IFERROR(__xludf.DUMMYFUNCTION("""COMPUTED_VALUE"""),"")</f>
        <v/>
      </c>
      <c r="K601" s="7" t="str">
        <f>IFERROR(__xludf.DUMMYFUNCTION("""COMPUTED_VALUE"""),"")</f>
        <v/>
      </c>
      <c r="M601" s="7" t="s">
        <v>110</v>
      </c>
      <c r="O601" s="7" t="str">
        <f>IFERROR(__xludf.DUMMYFUNCTION("""COMPUTED_VALUE"""),"")</f>
        <v/>
      </c>
      <c r="Q601" s="7" t="s">
        <v>110</v>
      </c>
      <c r="R601" s="7" t="str">
        <f>IFERROR(__xludf.DUMMYFUNCTION("""COMPUTED_VALUE"""),"")</f>
        <v/>
      </c>
    </row>
    <row r="602">
      <c r="B602" s="8"/>
      <c r="G602" s="7" t="str">
        <f>IFERROR(__xludf.DUMMYFUNCTION("""COMPUTED_VALUE"""),"")</f>
        <v/>
      </c>
      <c r="K602" s="7" t="str">
        <f>IFERROR(__xludf.DUMMYFUNCTION("""COMPUTED_VALUE"""),"")</f>
        <v/>
      </c>
      <c r="M602" s="7" t="s">
        <v>110</v>
      </c>
      <c r="O602" s="7" t="str">
        <f>IFERROR(__xludf.DUMMYFUNCTION("""COMPUTED_VALUE"""),"")</f>
        <v/>
      </c>
      <c r="Q602" s="7" t="s">
        <v>110</v>
      </c>
      <c r="R602" s="7" t="str">
        <f>IFERROR(__xludf.DUMMYFUNCTION("""COMPUTED_VALUE"""),"")</f>
        <v/>
      </c>
    </row>
    <row r="603">
      <c r="B603" s="8"/>
      <c r="G603" s="7" t="str">
        <f>IFERROR(__xludf.DUMMYFUNCTION("""COMPUTED_VALUE"""),"")</f>
        <v/>
      </c>
      <c r="K603" s="7" t="str">
        <f>IFERROR(__xludf.DUMMYFUNCTION("""COMPUTED_VALUE"""),"")</f>
        <v/>
      </c>
      <c r="M603" s="7" t="s">
        <v>110</v>
      </c>
      <c r="O603" s="7" t="str">
        <f>IFERROR(__xludf.DUMMYFUNCTION("""COMPUTED_VALUE"""),"")</f>
        <v/>
      </c>
      <c r="Q603" s="7" t="s">
        <v>110</v>
      </c>
      <c r="R603" s="7" t="str">
        <f>IFERROR(__xludf.DUMMYFUNCTION("""COMPUTED_VALUE"""),"")</f>
        <v/>
      </c>
    </row>
    <row r="604">
      <c r="B604" s="8"/>
      <c r="G604" s="7" t="str">
        <f>IFERROR(__xludf.DUMMYFUNCTION("""COMPUTED_VALUE"""),"")</f>
        <v/>
      </c>
      <c r="K604" s="7" t="str">
        <f>IFERROR(__xludf.DUMMYFUNCTION("""COMPUTED_VALUE"""),"")</f>
        <v/>
      </c>
      <c r="M604" s="7" t="s">
        <v>110</v>
      </c>
      <c r="O604" s="7" t="str">
        <f>IFERROR(__xludf.DUMMYFUNCTION("""COMPUTED_VALUE"""),"")</f>
        <v/>
      </c>
      <c r="Q604" s="7" t="s">
        <v>110</v>
      </c>
      <c r="R604" s="7" t="str">
        <f>IFERROR(__xludf.DUMMYFUNCTION("""COMPUTED_VALUE"""),"")</f>
        <v/>
      </c>
    </row>
    <row r="605">
      <c r="B605" s="8"/>
      <c r="G605" s="7" t="str">
        <f>IFERROR(__xludf.DUMMYFUNCTION("""COMPUTED_VALUE"""),"")</f>
        <v/>
      </c>
      <c r="K605" s="7" t="str">
        <f>IFERROR(__xludf.DUMMYFUNCTION("""COMPUTED_VALUE"""),"")</f>
        <v/>
      </c>
      <c r="M605" s="7" t="s">
        <v>110</v>
      </c>
      <c r="O605" s="7" t="str">
        <f>IFERROR(__xludf.DUMMYFUNCTION("""COMPUTED_VALUE"""),"")</f>
        <v/>
      </c>
      <c r="Q605" s="7" t="s">
        <v>110</v>
      </c>
      <c r="R605" s="7" t="str">
        <f>IFERROR(__xludf.DUMMYFUNCTION("""COMPUTED_VALUE"""),"")</f>
        <v/>
      </c>
    </row>
    <row r="606">
      <c r="B606" s="8"/>
      <c r="G606" s="7" t="str">
        <f>IFERROR(__xludf.DUMMYFUNCTION("""COMPUTED_VALUE"""),"")</f>
        <v/>
      </c>
      <c r="K606" s="7" t="str">
        <f>IFERROR(__xludf.DUMMYFUNCTION("""COMPUTED_VALUE"""),"")</f>
        <v/>
      </c>
      <c r="M606" s="7" t="s">
        <v>110</v>
      </c>
      <c r="O606" s="7" t="str">
        <f>IFERROR(__xludf.DUMMYFUNCTION("""COMPUTED_VALUE"""),"")</f>
        <v/>
      </c>
      <c r="Q606" s="7" t="s">
        <v>110</v>
      </c>
      <c r="R606" s="7" t="str">
        <f>IFERROR(__xludf.DUMMYFUNCTION("""COMPUTED_VALUE"""),"")</f>
        <v/>
      </c>
    </row>
    <row r="607">
      <c r="B607" s="8"/>
      <c r="G607" s="7" t="str">
        <f>IFERROR(__xludf.DUMMYFUNCTION("""COMPUTED_VALUE"""),"")</f>
        <v/>
      </c>
      <c r="K607" s="7" t="str">
        <f>IFERROR(__xludf.DUMMYFUNCTION("""COMPUTED_VALUE"""),"")</f>
        <v/>
      </c>
      <c r="M607" s="7" t="s">
        <v>110</v>
      </c>
      <c r="O607" s="7" t="str">
        <f>IFERROR(__xludf.DUMMYFUNCTION("""COMPUTED_VALUE"""),"")</f>
        <v/>
      </c>
      <c r="Q607" s="7" t="s">
        <v>110</v>
      </c>
      <c r="R607" s="7" t="str">
        <f>IFERROR(__xludf.DUMMYFUNCTION("""COMPUTED_VALUE"""),"")</f>
        <v/>
      </c>
    </row>
    <row r="608">
      <c r="B608" s="8"/>
      <c r="G608" s="7" t="str">
        <f>IFERROR(__xludf.DUMMYFUNCTION("""COMPUTED_VALUE"""),"")</f>
        <v/>
      </c>
      <c r="K608" s="7" t="str">
        <f>IFERROR(__xludf.DUMMYFUNCTION("""COMPUTED_VALUE"""),"")</f>
        <v/>
      </c>
      <c r="M608" s="7" t="s">
        <v>110</v>
      </c>
      <c r="O608" s="7" t="str">
        <f>IFERROR(__xludf.DUMMYFUNCTION("""COMPUTED_VALUE"""),"")</f>
        <v/>
      </c>
      <c r="Q608" s="7" t="s">
        <v>110</v>
      </c>
      <c r="R608" s="7" t="str">
        <f>IFERROR(__xludf.DUMMYFUNCTION("""COMPUTED_VALUE"""),"")</f>
        <v/>
      </c>
    </row>
    <row r="609">
      <c r="B609" s="8"/>
      <c r="G609" s="7" t="str">
        <f>IFERROR(__xludf.DUMMYFUNCTION("""COMPUTED_VALUE"""),"")</f>
        <v/>
      </c>
      <c r="K609" s="7" t="str">
        <f>IFERROR(__xludf.DUMMYFUNCTION("""COMPUTED_VALUE"""),"")</f>
        <v/>
      </c>
      <c r="M609" s="7" t="s">
        <v>110</v>
      </c>
      <c r="O609" s="7" t="str">
        <f>IFERROR(__xludf.DUMMYFUNCTION("""COMPUTED_VALUE"""),"")</f>
        <v/>
      </c>
      <c r="Q609" s="7" t="s">
        <v>110</v>
      </c>
      <c r="R609" s="7" t="str">
        <f>IFERROR(__xludf.DUMMYFUNCTION("""COMPUTED_VALUE"""),"")</f>
        <v/>
      </c>
    </row>
    <row r="610">
      <c r="B610" s="8"/>
      <c r="G610" s="7" t="str">
        <f>IFERROR(__xludf.DUMMYFUNCTION("""COMPUTED_VALUE"""),"")</f>
        <v/>
      </c>
      <c r="K610" s="7" t="str">
        <f>IFERROR(__xludf.DUMMYFUNCTION("""COMPUTED_VALUE"""),"")</f>
        <v/>
      </c>
      <c r="M610" s="7" t="s">
        <v>110</v>
      </c>
      <c r="O610" s="7" t="str">
        <f>IFERROR(__xludf.DUMMYFUNCTION("""COMPUTED_VALUE"""),"")</f>
        <v/>
      </c>
      <c r="Q610" s="7" t="s">
        <v>110</v>
      </c>
      <c r="R610" s="7" t="str">
        <f>IFERROR(__xludf.DUMMYFUNCTION("""COMPUTED_VALUE"""),"")</f>
        <v/>
      </c>
    </row>
    <row r="611">
      <c r="B611" s="8"/>
      <c r="G611" s="7" t="str">
        <f>IFERROR(__xludf.DUMMYFUNCTION("""COMPUTED_VALUE"""),"")</f>
        <v/>
      </c>
      <c r="K611" s="7" t="str">
        <f>IFERROR(__xludf.DUMMYFUNCTION("""COMPUTED_VALUE"""),"")</f>
        <v/>
      </c>
      <c r="M611" s="7" t="s">
        <v>110</v>
      </c>
      <c r="O611" s="7" t="str">
        <f>IFERROR(__xludf.DUMMYFUNCTION("""COMPUTED_VALUE"""),"")</f>
        <v/>
      </c>
      <c r="Q611" s="7" t="s">
        <v>110</v>
      </c>
      <c r="R611" s="7" t="str">
        <f>IFERROR(__xludf.DUMMYFUNCTION("""COMPUTED_VALUE"""),"")</f>
        <v/>
      </c>
    </row>
    <row r="612">
      <c r="B612" s="8"/>
      <c r="G612" s="7" t="str">
        <f>IFERROR(__xludf.DUMMYFUNCTION("""COMPUTED_VALUE"""),"")</f>
        <v/>
      </c>
      <c r="K612" s="7" t="str">
        <f>IFERROR(__xludf.DUMMYFUNCTION("""COMPUTED_VALUE"""),"")</f>
        <v/>
      </c>
      <c r="M612" s="7" t="s">
        <v>110</v>
      </c>
      <c r="O612" s="7" t="str">
        <f>IFERROR(__xludf.DUMMYFUNCTION("""COMPUTED_VALUE"""),"")</f>
        <v/>
      </c>
      <c r="Q612" s="7" t="s">
        <v>110</v>
      </c>
      <c r="R612" s="7" t="str">
        <f>IFERROR(__xludf.DUMMYFUNCTION("""COMPUTED_VALUE"""),"")</f>
        <v/>
      </c>
    </row>
    <row r="613">
      <c r="B613" s="8"/>
      <c r="G613" s="7" t="str">
        <f>IFERROR(__xludf.DUMMYFUNCTION("""COMPUTED_VALUE"""),"")</f>
        <v/>
      </c>
      <c r="K613" s="7" t="str">
        <f>IFERROR(__xludf.DUMMYFUNCTION("""COMPUTED_VALUE"""),"")</f>
        <v/>
      </c>
      <c r="M613" s="7" t="s">
        <v>110</v>
      </c>
      <c r="O613" s="7" t="str">
        <f>IFERROR(__xludf.DUMMYFUNCTION("""COMPUTED_VALUE"""),"")</f>
        <v/>
      </c>
      <c r="Q613" s="7" t="s">
        <v>110</v>
      </c>
      <c r="R613" s="7" t="str">
        <f>IFERROR(__xludf.DUMMYFUNCTION("""COMPUTED_VALUE"""),"")</f>
        <v/>
      </c>
    </row>
    <row r="614">
      <c r="B614" s="8"/>
      <c r="G614" s="7" t="str">
        <f>IFERROR(__xludf.DUMMYFUNCTION("""COMPUTED_VALUE"""),"")</f>
        <v/>
      </c>
      <c r="K614" s="7" t="str">
        <f>IFERROR(__xludf.DUMMYFUNCTION("""COMPUTED_VALUE"""),"")</f>
        <v/>
      </c>
      <c r="M614" s="7" t="s">
        <v>110</v>
      </c>
      <c r="O614" s="7" t="str">
        <f>IFERROR(__xludf.DUMMYFUNCTION("""COMPUTED_VALUE"""),"")</f>
        <v/>
      </c>
      <c r="Q614" s="7" t="s">
        <v>110</v>
      </c>
      <c r="R614" s="7" t="str">
        <f>IFERROR(__xludf.DUMMYFUNCTION("""COMPUTED_VALUE"""),"")</f>
        <v/>
      </c>
    </row>
    <row r="615">
      <c r="B615" s="8"/>
      <c r="G615" s="7" t="str">
        <f>IFERROR(__xludf.DUMMYFUNCTION("""COMPUTED_VALUE"""),"")</f>
        <v/>
      </c>
      <c r="K615" s="7" t="str">
        <f>IFERROR(__xludf.DUMMYFUNCTION("""COMPUTED_VALUE"""),"")</f>
        <v/>
      </c>
      <c r="M615" s="7" t="s">
        <v>110</v>
      </c>
      <c r="O615" s="7" t="str">
        <f>IFERROR(__xludf.DUMMYFUNCTION("""COMPUTED_VALUE"""),"")</f>
        <v/>
      </c>
      <c r="Q615" s="7" t="s">
        <v>110</v>
      </c>
      <c r="R615" s="7" t="str">
        <f>IFERROR(__xludf.DUMMYFUNCTION("""COMPUTED_VALUE"""),"")</f>
        <v/>
      </c>
    </row>
    <row r="616">
      <c r="B616" s="8"/>
      <c r="G616" s="7" t="str">
        <f>IFERROR(__xludf.DUMMYFUNCTION("""COMPUTED_VALUE"""),"")</f>
        <v/>
      </c>
      <c r="K616" s="7" t="str">
        <f>IFERROR(__xludf.DUMMYFUNCTION("""COMPUTED_VALUE"""),"")</f>
        <v/>
      </c>
      <c r="M616" s="7" t="s">
        <v>110</v>
      </c>
      <c r="O616" s="7" t="str">
        <f>IFERROR(__xludf.DUMMYFUNCTION("""COMPUTED_VALUE"""),"")</f>
        <v/>
      </c>
      <c r="Q616" s="7" t="s">
        <v>110</v>
      </c>
      <c r="R616" s="7" t="str">
        <f>IFERROR(__xludf.DUMMYFUNCTION("""COMPUTED_VALUE"""),"")</f>
        <v/>
      </c>
    </row>
    <row r="617">
      <c r="B617" s="8"/>
      <c r="G617" s="7" t="str">
        <f>IFERROR(__xludf.DUMMYFUNCTION("""COMPUTED_VALUE"""),"")</f>
        <v/>
      </c>
      <c r="K617" s="7" t="str">
        <f>IFERROR(__xludf.DUMMYFUNCTION("""COMPUTED_VALUE"""),"")</f>
        <v/>
      </c>
      <c r="M617" s="7" t="s">
        <v>110</v>
      </c>
      <c r="O617" s="7" t="str">
        <f>IFERROR(__xludf.DUMMYFUNCTION("""COMPUTED_VALUE"""),"")</f>
        <v/>
      </c>
      <c r="Q617" s="7" t="s">
        <v>110</v>
      </c>
      <c r="R617" s="7" t="str">
        <f>IFERROR(__xludf.DUMMYFUNCTION("""COMPUTED_VALUE"""),"")</f>
        <v/>
      </c>
    </row>
    <row r="618">
      <c r="B618" s="8"/>
      <c r="G618" s="7" t="str">
        <f>IFERROR(__xludf.DUMMYFUNCTION("""COMPUTED_VALUE"""),"")</f>
        <v/>
      </c>
      <c r="K618" s="7" t="str">
        <f>IFERROR(__xludf.DUMMYFUNCTION("""COMPUTED_VALUE"""),"")</f>
        <v/>
      </c>
      <c r="M618" s="7" t="s">
        <v>110</v>
      </c>
      <c r="O618" s="7" t="str">
        <f>IFERROR(__xludf.DUMMYFUNCTION("""COMPUTED_VALUE"""),"")</f>
        <v/>
      </c>
      <c r="Q618" s="7" t="s">
        <v>110</v>
      </c>
      <c r="R618" s="7" t="str">
        <f>IFERROR(__xludf.DUMMYFUNCTION("""COMPUTED_VALUE"""),"")</f>
        <v/>
      </c>
    </row>
    <row r="619">
      <c r="B619" s="8"/>
      <c r="G619" s="7" t="str">
        <f>IFERROR(__xludf.DUMMYFUNCTION("""COMPUTED_VALUE"""),"")</f>
        <v/>
      </c>
      <c r="K619" s="7" t="str">
        <f>IFERROR(__xludf.DUMMYFUNCTION("""COMPUTED_VALUE"""),"")</f>
        <v/>
      </c>
      <c r="M619" s="7" t="s">
        <v>110</v>
      </c>
      <c r="O619" s="7" t="str">
        <f>IFERROR(__xludf.DUMMYFUNCTION("""COMPUTED_VALUE"""),"")</f>
        <v/>
      </c>
      <c r="Q619" s="7" t="s">
        <v>110</v>
      </c>
      <c r="R619" s="7" t="str">
        <f>IFERROR(__xludf.DUMMYFUNCTION("""COMPUTED_VALUE"""),"")</f>
        <v/>
      </c>
    </row>
    <row r="620">
      <c r="B620" s="8"/>
      <c r="G620" s="7" t="str">
        <f>IFERROR(__xludf.DUMMYFUNCTION("""COMPUTED_VALUE"""),"")</f>
        <v/>
      </c>
      <c r="K620" s="7" t="str">
        <f>IFERROR(__xludf.DUMMYFUNCTION("""COMPUTED_VALUE"""),"")</f>
        <v/>
      </c>
      <c r="M620" s="7" t="s">
        <v>110</v>
      </c>
      <c r="O620" s="7" t="str">
        <f>IFERROR(__xludf.DUMMYFUNCTION("""COMPUTED_VALUE"""),"")</f>
        <v/>
      </c>
      <c r="Q620" s="7" t="s">
        <v>110</v>
      </c>
      <c r="R620" s="7" t="str">
        <f>IFERROR(__xludf.DUMMYFUNCTION("""COMPUTED_VALUE"""),"")</f>
        <v/>
      </c>
    </row>
    <row r="621">
      <c r="B621" s="8"/>
      <c r="G621" s="7" t="str">
        <f>IFERROR(__xludf.DUMMYFUNCTION("""COMPUTED_VALUE"""),"")</f>
        <v/>
      </c>
      <c r="K621" s="7" t="str">
        <f>IFERROR(__xludf.DUMMYFUNCTION("""COMPUTED_VALUE"""),"")</f>
        <v/>
      </c>
      <c r="M621" s="7" t="s">
        <v>110</v>
      </c>
      <c r="O621" s="7" t="str">
        <f>IFERROR(__xludf.DUMMYFUNCTION("""COMPUTED_VALUE"""),"")</f>
        <v/>
      </c>
      <c r="Q621" s="7" t="s">
        <v>110</v>
      </c>
      <c r="R621" s="7" t="str">
        <f>IFERROR(__xludf.DUMMYFUNCTION("""COMPUTED_VALUE"""),"")</f>
        <v/>
      </c>
    </row>
    <row r="622">
      <c r="B622" s="8"/>
      <c r="G622" s="7" t="str">
        <f>IFERROR(__xludf.DUMMYFUNCTION("""COMPUTED_VALUE"""),"")</f>
        <v/>
      </c>
      <c r="K622" s="7" t="str">
        <f>IFERROR(__xludf.DUMMYFUNCTION("""COMPUTED_VALUE"""),"")</f>
        <v/>
      </c>
      <c r="M622" s="7" t="s">
        <v>110</v>
      </c>
      <c r="O622" s="7" t="str">
        <f>IFERROR(__xludf.DUMMYFUNCTION("""COMPUTED_VALUE"""),"")</f>
        <v/>
      </c>
      <c r="Q622" s="7" t="s">
        <v>110</v>
      </c>
      <c r="R622" s="7" t="str">
        <f>IFERROR(__xludf.DUMMYFUNCTION("""COMPUTED_VALUE"""),"")</f>
        <v/>
      </c>
    </row>
    <row r="623">
      <c r="B623" s="8"/>
      <c r="G623" s="7" t="str">
        <f>IFERROR(__xludf.DUMMYFUNCTION("""COMPUTED_VALUE"""),"")</f>
        <v/>
      </c>
      <c r="K623" s="7" t="str">
        <f>IFERROR(__xludf.DUMMYFUNCTION("""COMPUTED_VALUE"""),"")</f>
        <v/>
      </c>
      <c r="M623" s="7" t="s">
        <v>110</v>
      </c>
      <c r="O623" s="7" t="str">
        <f>IFERROR(__xludf.DUMMYFUNCTION("""COMPUTED_VALUE"""),"")</f>
        <v/>
      </c>
      <c r="Q623" s="7" t="s">
        <v>110</v>
      </c>
      <c r="R623" s="7" t="str">
        <f>IFERROR(__xludf.DUMMYFUNCTION("""COMPUTED_VALUE"""),"")</f>
        <v/>
      </c>
    </row>
    <row r="624">
      <c r="B624" s="8"/>
      <c r="G624" s="7" t="str">
        <f>IFERROR(__xludf.DUMMYFUNCTION("""COMPUTED_VALUE"""),"")</f>
        <v/>
      </c>
      <c r="K624" s="7" t="str">
        <f>IFERROR(__xludf.DUMMYFUNCTION("""COMPUTED_VALUE"""),"")</f>
        <v/>
      </c>
      <c r="M624" s="7" t="s">
        <v>110</v>
      </c>
      <c r="O624" s="7" t="str">
        <f>IFERROR(__xludf.DUMMYFUNCTION("""COMPUTED_VALUE"""),"")</f>
        <v/>
      </c>
      <c r="Q624" s="7" t="s">
        <v>110</v>
      </c>
      <c r="R624" s="7" t="str">
        <f>IFERROR(__xludf.DUMMYFUNCTION("""COMPUTED_VALUE"""),"")</f>
        <v/>
      </c>
    </row>
    <row r="625">
      <c r="B625" s="8"/>
      <c r="G625" s="7" t="str">
        <f>IFERROR(__xludf.DUMMYFUNCTION("""COMPUTED_VALUE"""),"")</f>
        <v/>
      </c>
      <c r="K625" s="7" t="str">
        <f>IFERROR(__xludf.DUMMYFUNCTION("""COMPUTED_VALUE"""),"")</f>
        <v/>
      </c>
      <c r="M625" s="7" t="s">
        <v>110</v>
      </c>
      <c r="O625" s="7" t="str">
        <f>IFERROR(__xludf.DUMMYFUNCTION("""COMPUTED_VALUE"""),"")</f>
        <v/>
      </c>
      <c r="Q625" s="7" t="s">
        <v>110</v>
      </c>
      <c r="R625" s="7" t="str">
        <f>IFERROR(__xludf.DUMMYFUNCTION("""COMPUTED_VALUE"""),"")</f>
        <v/>
      </c>
    </row>
    <row r="626">
      <c r="B626" s="8"/>
      <c r="G626" s="7" t="str">
        <f>IFERROR(__xludf.DUMMYFUNCTION("""COMPUTED_VALUE"""),"")</f>
        <v/>
      </c>
      <c r="K626" s="7" t="str">
        <f>IFERROR(__xludf.DUMMYFUNCTION("""COMPUTED_VALUE"""),"")</f>
        <v/>
      </c>
      <c r="M626" s="7" t="s">
        <v>110</v>
      </c>
      <c r="O626" s="7" t="str">
        <f>IFERROR(__xludf.DUMMYFUNCTION("""COMPUTED_VALUE"""),"")</f>
        <v/>
      </c>
      <c r="Q626" s="7" t="s">
        <v>110</v>
      </c>
      <c r="R626" s="7" t="str">
        <f>IFERROR(__xludf.DUMMYFUNCTION("""COMPUTED_VALUE"""),"")</f>
        <v/>
      </c>
    </row>
    <row r="627">
      <c r="B627" s="8"/>
      <c r="G627" s="7" t="str">
        <f>IFERROR(__xludf.DUMMYFUNCTION("""COMPUTED_VALUE"""),"")</f>
        <v/>
      </c>
      <c r="K627" s="7" t="str">
        <f>IFERROR(__xludf.DUMMYFUNCTION("""COMPUTED_VALUE"""),"")</f>
        <v/>
      </c>
      <c r="M627" s="7" t="s">
        <v>110</v>
      </c>
      <c r="O627" s="7" t="str">
        <f>IFERROR(__xludf.DUMMYFUNCTION("""COMPUTED_VALUE"""),"")</f>
        <v/>
      </c>
      <c r="Q627" s="7" t="s">
        <v>110</v>
      </c>
      <c r="R627" s="7" t="str">
        <f>IFERROR(__xludf.DUMMYFUNCTION("""COMPUTED_VALUE"""),"")</f>
        <v/>
      </c>
    </row>
    <row r="628">
      <c r="B628" s="8"/>
      <c r="G628" s="7" t="str">
        <f>IFERROR(__xludf.DUMMYFUNCTION("""COMPUTED_VALUE"""),"")</f>
        <v/>
      </c>
      <c r="K628" s="7" t="str">
        <f>IFERROR(__xludf.DUMMYFUNCTION("""COMPUTED_VALUE"""),"")</f>
        <v/>
      </c>
      <c r="M628" s="7" t="s">
        <v>110</v>
      </c>
      <c r="O628" s="7" t="str">
        <f>IFERROR(__xludf.DUMMYFUNCTION("""COMPUTED_VALUE"""),"")</f>
        <v/>
      </c>
      <c r="Q628" s="7" t="s">
        <v>110</v>
      </c>
      <c r="R628" s="7" t="str">
        <f>IFERROR(__xludf.DUMMYFUNCTION("""COMPUTED_VALUE"""),"")</f>
        <v/>
      </c>
    </row>
    <row r="629">
      <c r="B629" s="8"/>
      <c r="G629" s="7" t="str">
        <f>IFERROR(__xludf.DUMMYFUNCTION("""COMPUTED_VALUE"""),"")</f>
        <v/>
      </c>
      <c r="K629" s="7" t="str">
        <f>IFERROR(__xludf.DUMMYFUNCTION("""COMPUTED_VALUE"""),"")</f>
        <v/>
      </c>
      <c r="M629" s="7" t="s">
        <v>110</v>
      </c>
      <c r="O629" s="7" t="str">
        <f>IFERROR(__xludf.DUMMYFUNCTION("""COMPUTED_VALUE"""),"")</f>
        <v/>
      </c>
      <c r="Q629" s="7" t="s">
        <v>110</v>
      </c>
      <c r="R629" s="7" t="str">
        <f>IFERROR(__xludf.DUMMYFUNCTION("""COMPUTED_VALUE"""),"")</f>
        <v/>
      </c>
    </row>
    <row r="630">
      <c r="B630" s="8"/>
      <c r="G630" s="7" t="str">
        <f>IFERROR(__xludf.DUMMYFUNCTION("""COMPUTED_VALUE"""),"")</f>
        <v/>
      </c>
      <c r="K630" s="7" t="str">
        <f>IFERROR(__xludf.DUMMYFUNCTION("""COMPUTED_VALUE"""),"")</f>
        <v/>
      </c>
      <c r="M630" s="7" t="s">
        <v>110</v>
      </c>
      <c r="O630" s="7" t="str">
        <f>IFERROR(__xludf.DUMMYFUNCTION("""COMPUTED_VALUE"""),"")</f>
        <v/>
      </c>
      <c r="Q630" s="7" t="s">
        <v>110</v>
      </c>
      <c r="R630" s="7" t="str">
        <f>IFERROR(__xludf.DUMMYFUNCTION("""COMPUTED_VALUE"""),"")</f>
        <v/>
      </c>
    </row>
    <row r="631">
      <c r="B631" s="8"/>
      <c r="G631" s="7" t="str">
        <f>IFERROR(__xludf.DUMMYFUNCTION("""COMPUTED_VALUE"""),"")</f>
        <v/>
      </c>
      <c r="K631" s="7" t="str">
        <f>IFERROR(__xludf.DUMMYFUNCTION("""COMPUTED_VALUE"""),"")</f>
        <v/>
      </c>
      <c r="M631" s="7" t="s">
        <v>110</v>
      </c>
      <c r="O631" s="7" t="str">
        <f>IFERROR(__xludf.DUMMYFUNCTION("""COMPUTED_VALUE"""),"")</f>
        <v/>
      </c>
      <c r="Q631" s="7" t="s">
        <v>110</v>
      </c>
      <c r="R631" s="7" t="str">
        <f>IFERROR(__xludf.DUMMYFUNCTION("""COMPUTED_VALUE"""),"")</f>
        <v/>
      </c>
    </row>
    <row r="632">
      <c r="B632" s="8"/>
      <c r="G632" s="7" t="str">
        <f>IFERROR(__xludf.DUMMYFUNCTION("""COMPUTED_VALUE"""),"")</f>
        <v/>
      </c>
      <c r="K632" s="7" t="str">
        <f>IFERROR(__xludf.DUMMYFUNCTION("""COMPUTED_VALUE"""),"")</f>
        <v/>
      </c>
      <c r="M632" s="7" t="s">
        <v>110</v>
      </c>
      <c r="O632" s="7" t="str">
        <f>IFERROR(__xludf.DUMMYFUNCTION("""COMPUTED_VALUE"""),"")</f>
        <v/>
      </c>
      <c r="Q632" s="7" t="s">
        <v>110</v>
      </c>
      <c r="R632" s="7" t="str">
        <f>IFERROR(__xludf.DUMMYFUNCTION("""COMPUTED_VALUE"""),"")</f>
        <v/>
      </c>
    </row>
    <row r="633">
      <c r="B633" s="8"/>
      <c r="G633" s="7" t="str">
        <f>IFERROR(__xludf.DUMMYFUNCTION("""COMPUTED_VALUE"""),"")</f>
        <v/>
      </c>
      <c r="K633" s="7" t="str">
        <f>IFERROR(__xludf.DUMMYFUNCTION("""COMPUTED_VALUE"""),"")</f>
        <v/>
      </c>
      <c r="M633" s="7" t="s">
        <v>110</v>
      </c>
      <c r="O633" s="7" t="str">
        <f>IFERROR(__xludf.DUMMYFUNCTION("""COMPUTED_VALUE"""),"")</f>
        <v/>
      </c>
      <c r="Q633" s="7" t="s">
        <v>110</v>
      </c>
      <c r="R633" s="7" t="str">
        <f>IFERROR(__xludf.DUMMYFUNCTION("""COMPUTED_VALUE"""),"")</f>
        <v/>
      </c>
    </row>
    <row r="634">
      <c r="B634" s="8"/>
      <c r="G634" s="7" t="str">
        <f>IFERROR(__xludf.DUMMYFUNCTION("""COMPUTED_VALUE"""),"")</f>
        <v/>
      </c>
      <c r="K634" s="7" t="str">
        <f>IFERROR(__xludf.DUMMYFUNCTION("""COMPUTED_VALUE"""),"")</f>
        <v/>
      </c>
      <c r="M634" s="7" t="s">
        <v>110</v>
      </c>
      <c r="O634" s="7" t="str">
        <f>IFERROR(__xludf.DUMMYFUNCTION("""COMPUTED_VALUE"""),"")</f>
        <v/>
      </c>
      <c r="Q634" s="7" t="s">
        <v>110</v>
      </c>
      <c r="R634" s="7" t="str">
        <f>IFERROR(__xludf.DUMMYFUNCTION("""COMPUTED_VALUE"""),"")</f>
        <v/>
      </c>
    </row>
    <row r="635">
      <c r="B635" s="8"/>
      <c r="G635" s="7" t="str">
        <f>IFERROR(__xludf.DUMMYFUNCTION("""COMPUTED_VALUE"""),"")</f>
        <v/>
      </c>
      <c r="K635" s="7" t="str">
        <f>IFERROR(__xludf.DUMMYFUNCTION("""COMPUTED_VALUE"""),"")</f>
        <v/>
      </c>
      <c r="M635" s="7" t="s">
        <v>110</v>
      </c>
      <c r="O635" s="7" t="str">
        <f>IFERROR(__xludf.DUMMYFUNCTION("""COMPUTED_VALUE"""),"")</f>
        <v/>
      </c>
      <c r="Q635" s="7" t="s">
        <v>110</v>
      </c>
      <c r="R635" s="7" t="str">
        <f>IFERROR(__xludf.DUMMYFUNCTION("""COMPUTED_VALUE"""),"")</f>
        <v/>
      </c>
    </row>
    <row r="636">
      <c r="B636" s="8"/>
      <c r="G636" s="7" t="str">
        <f>IFERROR(__xludf.DUMMYFUNCTION("""COMPUTED_VALUE"""),"")</f>
        <v/>
      </c>
      <c r="K636" s="7" t="str">
        <f>IFERROR(__xludf.DUMMYFUNCTION("""COMPUTED_VALUE"""),"")</f>
        <v/>
      </c>
      <c r="M636" s="7" t="s">
        <v>110</v>
      </c>
      <c r="O636" s="7" t="str">
        <f>IFERROR(__xludf.DUMMYFUNCTION("""COMPUTED_VALUE"""),"")</f>
        <v/>
      </c>
      <c r="Q636" s="7" t="s">
        <v>110</v>
      </c>
      <c r="R636" s="7" t="str">
        <f>IFERROR(__xludf.DUMMYFUNCTION("""COMPUTED_VALUE"""),"")</f>
        <v/>
      </c>
    </row>
    <row r="637">
      <c r="B637" s="8"/>
      <c r="G637" s="7" t="str">
        <f>IFERROR(__xludf.DUMMYFUNCTION("""COMPUTED_VALUE"""),"")</f>
        <v/>
      </c>
      <c r="K637" s="7" t="str">
        <f>IFERROR(__xludf.DUMMYFUNCTION("""COMPUTED_VALUE"""),"")</f>
        <v/>
      </c>
      <c r="M637" s="7" t="s">
        <v>110</v>
      </c>
      <c r="O637" s="7" t="str">
        <f>IFERROR(__xludf.DUMMYFUNCTION("""COMPUTED_VALUE"""),"")</f>
        <v/>
      </c>
      <c r="Q637" s="7" t="s">
        <v>110</v>
      </c>
      <c r="R637" s="7" t="str">
        <f>IFERROR(__xludf.DUMMYFUNCTION("""COMPUTED_VALUE"""),"")</f>
        <v/>
      </c>
    </row>
    <row r="638">
      <c r="B638" s="8"/>
      <c r="G638" s="7" t="str">
        <f>IFERROR(__xludf.DUMMYFUNCTION("""COMPUTED_VALUE"""),"")</f>
        <v/>
      </c>
      <c r="K638" s="7" t="str">
        <f>IFERROR(__xludf.DUMMYFUNCTION("""COMPUTED_VALUE"""),"")</f>
        <v/>
      </c>
      <c r="M638" s="7" t="s">
        <v>110</v>
      </c>
      <c r="O638" s="7" t="str">
        <f>IFERROR(__xludf.DUMMYFUNCTION("""COMPUTED_VALUE"""),"")</f>
        <v/>
      </c>
      <c r="Q638" s="7" t="s">
        <v>110</v>
      </c>
      <c r="R638" s="7" t="str">
        <f>IFERROR(__xludf.DUMMYFUNCTION("""COMPUTED_VALUE"""),"")</f>
        <v/>
      </c>
    </row>
    <row r="639">
      <c r="B639" s="8"/>
      <c r="G639" s="7" t="str">
        <f>IFERROR(__xludf.DUMMYFUNCTION("""COMPUTED_VALUE"""),"")</f>
        <v/>
      </c>
      <c r="K639" s="7" t="str">
        <f>IFERROR(__xludf.DUMMYFUNCTION("""COMPUTED_VALUE"""),"")</f>
        <v/>
      </c>
      <c r="M639" s="7" t="s">
        <v>110</v>
      </c>
      <c r="O639" s="7" t="str">
        <f>IFERROR(__xludf.DUMMYFUNCTION("""COMPUTED_VALUE"""),"")</f>
        <v/>
      </c>
      <c r="Q639" s="7" t="s">
        <v>110</v>
      </c>
      <c r="R639" s="7" t="str">
        <f>IFERROR(__xludf.DUMMYFUNCTION("""COMPUTED_VALUE"""),"")</f>
        <v/>
      </c>
    </row>
    <row r="640">
      <c r="B640" s="8"/>
      <c r="G640" s="7" t="str">
        <f>IFERROR(__xludf.DUMMYFUNCTION("""COMPUTED_VALUE"""),"")</f>
        <v/>
      </c>
      <c r="K640" s="7" t="str">
        <f>IFERROR(__xludf.DUMMYFUNCTION("""COMPUTED_VALUE"""),"")</f>
        <v/>
      </c>
      <c r="M640" s="7" t="s">
        <v>110</v>
      </c>
      <c r="O640" s="7" t="str">
        <f>IFERROR(__xludf.DUMMYFUNCTION("""COMPUTED_VALUE"""),"")</f>
        <v/>
      </c>
      <c r="Q640" s="7" t="s">
        <v>110</v>
      </c>
      <c r="R640" s="7" t="str">
        <f>IFERROR(__xludf.DUMMYFUNCTION("""COMPUTED_VALUE"""),"")</f>
        <v/>
      </c>
    </row>
    <row r="641">
      <c r="B641" s="8"/>
      <c r="G641" s="7" t="str">
        <f>IFERROR(__xludf.DUMMYFUNCTION("""COMPUTED_VALUE"""),"")</f>
        <v/>
      </c>
      <c r="K641" s="7" t="str">
        <f>IFERROR(__xludf.DUMMYFUNCTION("""COMPUTED_VALUE"""),"")</f>
        <v/>
      </c>
      <c r="M641" s="7" t="s">
        <v>110</v>
      </c>
      <c r="O641" s="7" t="str">
        <f>IFERROR(__xludf.DUMMYFUNCTION("""COMPUTED_VALUE"""),"")</f>
        <v/>
      </c>
      <c r="Q641" s="7" t="s">
        <v>110</v>
      </c>
      <c r="R641" s="7" t="str">
        <f>IFERROR(__xludf.DUMMYFUNCTION("""COMPUTED_VALUE"""),"")</f>
        <v/>
      </c>
    </row>
    <row r="642">
      <c r="B642" s="8"/>
      <c r="G642" s="7" t="str">
        <f>IFERROR(__xludf.DUMMYFUNCTION("""COMPUTED_VALUE"""),"")</f>
        <v/>
      </c>
      <c r="K642" s="7" t="str">
        <f>IFERROR(__xludf.DUMMYFUNCTION("""COMPUTED_VALUE"""),"")</f>
        <v/>
      </c>
      <c r="M642" s="7" t="s">
        <v>110</v>
      </c>
      <c r="O642" s="7" t="str">
        <f>IFERROR(__xludf.DUMMYFUNCTION("""COMPUTED_VALUE"""),"")</f>
        <v/>
      </c>
      <c r="Q642" s="7" t="s">
        <v>110</v>
      </c>
      <c r="R642" s="7" t="str">
        <f>IFERROR(__xludf.DUMMYFUNCTION("""COMPUTED_VALUE"""),"")</f>
        <v/>
      </c>
    </row>
    <row r="643">
      <c r="B643" s="8"/>
      <c r="G643" s="7" t="str">
        <f>IFERROR(__xludf.DUMMYFUNCTION("""COMPUTED_VALUE"""),"")</f>
        <v/>
      </c>
      <c r="K643" s="7" t="str">
        <f>IFERROR(__xludf.DUMMYFUNCTION("""COMPUTED_VALUE"""),"")</f>
        <v/>
      </c>
      <c r="M643" s="7" t="s">
        <v>110</v>
      </c>
      <c r="O643" s="7" t="str">
        <f>IFERROR(__xludf.DUMMYFUNCTION("""COMPUTED_VALUE"""),"")</f>
        <v/>
      </c>
      <c r="Q643" s="7" t="s">
        <v>110</v>
      </c>
      <c r="R643" s="7" t="str">
        <f>IFERROR(__xludf.DUMMYFUNCTION("""COMPUTED_VALUE"""),"")</f>
        <v/>
      </c>
    </row>
    <row r="644">
      <c r="B644" s="8"/>
      <c r="G644" s="7" t="str">
        <f>IFERROR(__xludf.DUMMYFUNCTION("""COMPUTED_VALUE"""),"")</f>
        <v/>
      </c>
      <c r="K644" s="7" t="str">
        <f>IFERROR(__xludf.DUMMYFUNCTION("""COMPUTED_VALUE"""),"")</f>
        <v/>
      </c>
      <c r="M644" s="7" t="s">
        <v>110</v>
      </c>
      <c r="O644" s="7" t="str">
        <f>IFERROR(__xludf.DUMMYFUNCTION("""COMPUTED_VALUE"""),"")</f>
        <v/>
      </c>
      <c r="Q644" s="7" t="s">
        <v>110</v>
      </c>
      <c r="R644" s="7" t="str">
        <f>IFERROR(__xludf.DUMMYFUNCTION("""COMPUTED_VALUE"""),"")</f>
        <v/>
      </c>
    </row>
    <row r="645">
      <c r="B645" s="8"/>
      <c r="G645" s="7" t="str">
        <f>IFERROR(__xludf.DUMMYFUNCTION("""COMPUTED_VALUE"""),"")</f>
        <v/>
      </c>
      <c r="K645" s="7" t="str">
        <f>IFERROR(__xludf.DUMMYFUNCTION("""COMPUTED_VALUE"""),"")</f>
        <v/>
      </c>
      <c r="M645" s="7" t="s">
        <v>110</v>
      </c>
      <c r="O645" s="7" t="str">
        <f>IFERROR(__xludf.DUMMYFUNCTION("""COMPUTED_VALUE"""),"")</f>
        <v/>
      </c>
      <c r="Q645" s="7" t="s">
        <v>110</v>
      </c>
      <c r="R645" s="7" t="str">
        <f>IFERROR(__xludf.DUMMYFUNCTION("""COMPUTED_VALUE"""),"")</f>
        <v/>
      </c>
    </row>
    <row r="646">
      <c r="B646" s="8"/>
      <c r="G646" s="7" t="str">
        <f>IFERROR(__xludf.DUMMYFUNCTION("""COMPUTED_VALUE"""),"")</f>
        <v/>
      </c>
      <c r="K646" s="7" t="str">
        <f>IFERROR(__xludf.DUMMYFUNCTION("""COMPUTED_VALUE"""),"")</f>
        <v/>
      </c>
      <c r="M646" s="7" t="s">
        <v>110</v>
      </c>
      <c r="O646" s="7" t="str">
        <f>IFERROR(__xludf.DUMMYFUNCTION("""COMPUTED_VALUE"""),"")</f>
        <v/>
      </c>
      <c r="Q646" s="7" t="s">
        <v>110</v>
      </c>
      <c r="R646" s="7" t="str">
        <f>IFERROR(__xludf.DUMMYFUNCTION("""COMPUTED_VALUE"""),"")</f>
        <v/>
      </c>
    </row>
    <row r="647">
      <c r="B647" s="8"/>
      <c r="G647" s="7" t="str">
        <f>IFERROR(__xludf.DUMMYFUNCTION("""COMPUTED_VALUE"""),"")</f>
        <v/>
      </c>
      <c r="K647" s="7" t="str">
        <f>IFERROR(__xludf.DUMMYFUNCTION("""COMPUTED_VALUE"""),"")</f>
        <v/>
      </c>
      <c r="M647" s="7" t="s">
        <v>110</v>
      </c>
      <c r="O647" s="7" t="str">
        <f>IFERROR(__xludf.DUMMYFUNCTION("""COMPUTED_VALUE"""),"")</f>
        <v/>
      </c>
      <c r="Q647" s="7" t="s">
        <v>110</v>
      </c>
      <c r="R647" s="7" t="str">
        <f>IFERROR(__xludf.DUMMYFUNCTION("""COMPUTED_VALUE"""),"")</f>
        <v/>
      </c>
    </row>
    <row r="648">
      <c r="B648" s="8"/>
      <c r="G648" s="7" t="str">
        <f>IFERROR(__xludf.DUMMYFUNCTION("""COMPUTED_VALUE"""),"")</f>
        <v/>
      </c>
      <c r="K648" s="7" t="str">
        <f>IFERROR(__xludf.DUMMYFUNCTION("""COMPUTED_VALUE"""),"")</f>
        <v/>
      </c>
      <c r="M648" s="7" t="s">
        <v>110</v>
      </c>
      <c r="O648" s="7" t="str">
        <f>IFERROR(__xludf.DUMMYFUNCTION("""COMPUTED_VALUE"""),"")</f>
        <v/>
      </c>
      <c r="Q648" s="7" t="s">
        <v>110</v>
      </c>
      <c r="R648" s="7" t="str">
        <f>IFERROR(__xludf.DUMMYFUNCTION("""COMPUTED_VALUE"""),"")</f>
        <v/>
      </c>
    </row>
    <row r="649">
      <c r="B649" s="8"/>
      <c r="G649" s="7" t="str">
        <f>IFERROR(__xludf.DUMMYFUNCTION("""COMPUTED_VALUE"""),"")</f>
        <v/>
      </c>
      <c r="K649" s="7" t="str">
        <f>IFERROR(__xludf.DUMMYFUNCTION("""COMPUTED_VALUE"""),"")</f>
        <v/>
      </c>
      <c r="M649" s="7" t="s">
        <v>110</v>
      </c>
      <c r="O649" s="7" t="str">
        <f>IFERROR(__xludf.DUMMYFUNCTION("""COMPUTED_VALUE"""),"")</f>
        <v/>
      </c>
      <c r="Q649" s="7" t="s">
        <v>110</v>
      </c>
      <c r="R649" s="7" t="str">
        <f>IFERROR(__xludf.DUMMYFUNCTION("""COMPUTED_VALUE"""),"")</f>
        <v/>
      </c>
    </row>
    <row r="650">
      <c r="B650" s="8"/>
      <c r="G650" s="7" t="str">
        <f>IFERROR(__xludf.DUMMYFUNCTION("""COMPUTED_VALUE"""),"")</f>
        <v/>
      </c>
      <c r="K650" s="7" t="str">
        <f>IFERROR(__xludf.DUMMYFUNCTION("""COMPUTED_VALUE"""),"")</f>
        <v/>
      </c>
      <c r="M650" s="7" t="s">
        <v>110</v>
      </c>
      <c r="O650" s="7" t="str">
        <f>IFERROR(__xludf.DUMMYFUNCTION("""COMPUTED_VALUE"""),"")</f>
        <v/>
      </c>
      <c r="Q650" s="7" t="s">
        <v>110</v>
      </c>
      <c r="R650" s="7" t="str">
        <f>IFERROR(__xludf.DUMMYFUNCTION("""COMPUTED_VALUE"""),"")</f>
        <v/>
      </c>
    </row>
    <row r="651">
      <c r="B651" s="8"/>
      <c r="G651" s="7" t="str">
        <f>IFERROR(__xludf.DUMMYFUNCTION("""COMPUTED_VALUE"""),"")</f>
        <v/>
      </c>
      <c r="K651" s="7" t="str">
        <f>IFERROR(__xludf.DUMMYFUNCTION("""COMPUTED_VALUE"""),"")</f>
        <v/>
      </c>
      <c r="M651" s="7" t="s">
        <v>110</v>
      </c>
      <c r="O651" s="7" t="str">
        <f>IFERROR(__xludf.DUMMYFUNCTION("""COMPUTED_VALUE"""),"")</f>
        <v/>
      </c>
      <c r="Q651" s="7" t="s">
        <v>110</v>
      </c>
      <c r="R651" s="7" t="str">
        <f>IFERROR(__xludf.DUMMYFUNCTION("""COMPUTED_VALUE"""),"")</f>
        <v/>
      </c>
    </row>
    <row r="652">
      <c r="B652" s="8"/>
      <c r="G652" s="7" t="str">
        <f>IFERROR(__xludf.DUMMYFUNCTION("""COMPUTED_VALUE"""),"")</f>
        <v/>
      </c>
      <c r="K652" s="7" t="str">
        <f>IFERROR(__xludf.DUMMYFUNCTION("""COMPUTED_VALUE"""),"")</f>
        <v/>
      </c>
      <c r="M652" s="7" t="s">
        <v>110</v>
      </c>
      <c r="O652" s="7" t="str">
        <f>IFERROR(__xludf.DUMMYFUNCTION("""COMPUTED_VALUE"""),"")</f>
        <v/>
      </c>
      <c r="Q652" s="7" t="s">
        <v>110</v>
      </c>
      <c r="R652" s="7" t="str">
        <f>IFERROR(__xludf.DUMMYFUNCTION("""COMPUTED_VALUE"""),"")</f>
        <v/>
      </c>
    </row>
    <row r="653">
      <c r="B653" s="8"/>
      <c r="G653" s="7" t="str">
        <f>IFERROR(__xludf.DUMMYFUNCTION("""COMPUTED_VALUE"""),"")</f>
        <v/>
      </c>
      <c r="K653" s="7" t="str">
        <f>IFERROR(__xludf.DUMMYFUNCTION("""COMPUTED_VALUE"""),"")</f>
        <v/>
      </c>
      <c r="M653" s="7" t="s">
        <v>110</v>
      </c>
      <c r="O653" s="7" t="str">
        <f>IFERROR(__xludf.DUMMYFUNCTION("""COMPUTED_VALUE"""),"")</f>
        <v/>
      </c>
      <c r="Q653" s="7" t="s">
        <v>110</v>
      </c>
      <c r="R653" s="7" t="str">
        <f>IFERROR(__xludf.DUMMYFUNCTION("""COMPUTED_VALUE"""),"")</f>
        <v/>
      </c>
    </row>
    <row r="654">
      <c r="B654" s="8"/>
      <c r="G654" s="7" t="str">
        <f>IFERROR(__xludf.DUMMYFUNCTION("""COMPUTED_VALUE"""),"")</f>
        <v/>
      </c>
      <c r="K654" s="7" t="str">
        <f>IFERROR(__xludf.DUMMYFUNCTION("""COMPUTED_VALUE"""),"")</f>
        <v/>
      </c>
      <c r="M654" s="7" t="s">
        <v>110</v>
      </c>
      <c r="O654" s="7" t="str">
        <f>IFERROR(__xludf.DUMMYFUNCTION("""COMPUTED_VALUE"""),"")</f>
        <v/>
      </c>
      <c r="Q654" s="7" t="s">
        <v>110</v>
      </c>
      <c r="R654" s="7" t="str">
        <f>IFERROR(__xludf.DUMMYFUNCTION("""COMPUTED_VALUE"""),"")</f>
        <v/>
      </c>
    </row>
    <row r="655">
      <c r="B655" s="8"/>
      <c r="G655" s="7" t="str">
        <f>IFERROR(__xludf.DUMMYFUNCTION("""COMPUTED_VALUE"""),"")</f>
        <v/>
      </c>
      <c r="K655" s="7" t="str">
        <f>IFERROR(__xludf.DUMMYFUNCTION("""COMPUTED_VALUE"""),"")</f>
        <v/>
      </c>
      <c r="M655" s="7" t="s">
        <v>110</v>
      </c>
      <c r="O655" s="7" t="str">
        <f>IFERROR(__xludf.DUMMYFUNCTION("""COMPUTED_VALUE"""),"")</f>
        <v/>
      </c>
      <c r="Q655" s="7" t="s">
        <v>110</v>
      </c>
      <c r="R655" s="7" t="str">
        <f>IFERROR(__xludf.DUMMYFUNCTION("""COMPUTED_VALUE"""),"")</f>
        <v/>
      </c>
    </row>
    <row r="656">
      <c r="B656" s="8"/>
      <c r="G656" s="7" t="str">
        <f>IFERROR(__xludf.DUMMYFUNCTION("""COMPUTED_VALUE"""),"")</f>
        <v/>
      </c>
      <c r="K656" s="7" t="str">
        <f>IFERROR(__xludf.DUMMYFUNCTION("""COMPUTED_VALUE"""),"")</f>
        <v/>
      </c>
      <c r="M656" s="7" t="s">
        <v>110</v>
      </c>
      <c r="O656" s="7" t="str">
        <f>IFERROR(__xludf.DUMMYFUNCTION("""COMPUTED_VALUE"""),"")</f>
        <v/>
      </c>
      <c r="Q656" s="7" t="s">
        <v>110</v>
      </c>
      <c r="R656" s="7" t="str">
        <f>IFERROR(__xludf.DUMMYFUNCTION("""COMPUTED_VALUE"""),"")</f>
        <v/>
      </c>
    </row>
    <row r="657">
      <c r="B657" s="8"/>
      <c r="G657" s="7" t="str">
        <f>IFERROR(__xludf.DUMMYFUNCTION("""COMPUTED_VALUE"""),"")</f>
        <v/>
      </c>
      <c r="K657" s="7" t="str">
        <f>IFERROR(__xludf.DUMMYFUNCTION("""COMPUTED_VALUE"""),"")</f>
        <v/>
      </c>
      <c r="M657" s="7" t="s">
        <v>110</v>
      </c>
      <c r="O657" s="7" t="str">
        <f>IFERROR(__xludf.DUMMYFUNCTION("""COMPUTED_VALUE"""),"")</f>
        <v/>
      </c>
      <c r="Q657" s="7" t="s">
        <v>110</v>
      </c>
      <c r="R657" s="7" t="str">
        <f>IFERROR(__xludf.DUMMYFUNCTION("""COMPUTED_VALUE"""),"")</f>
        <v/>
      </c>
    </row>
    <row r="658">
      <c r="B658" s="8"/>
      <c r="G658" s="7" t="str">
        <f>IFERROR(__xludf.DUMMYFUNCTION("""COMPUTED_VALUE"""),"")</f>
        <v/>
      </c>
      <c r="K658" s="7" t="str">
        <f>IFERROR(__xludf.DUMMYFUNCTION("""COMPUTED_VALUE"""),"")</f>
        <v/>
      </c>
      <c r="M658" s="7" t="s">
        <v>110</v>
      </c>
      <c r="O658" s="7" t="str">
        <f>IFERROR(__xludf.DUMMYFUNCTION("""COMPUTED_VALUE"""),"")</f>
        <v/>
      </c>
      <c r="Q658" s="7" t="s">
        <v>110</v>
      </c>
      <c r="R658" s="7" t="str">
        <f>IFERROR(__xludf.DUMMYFUNCTION("""COMPUTED_VALUE"""),"")</f>
        <v/>
      </c>
    </row>
    <row r="659">
      <c r="B659" s="8"/>
      <c r="G659" s="7" t="str">
        <f>IFERROR(__xludf.DUMMYFUNCTION("""COMPUTED_VALUE"""),"")</f>
        <v/>
      </c>
      <c r="K659" s="7" t="str">
        <f>IFERROR(__xludf.DUMMYFUNCTION("""COMPUTED_VALUE"""),"")</f>
        <v/>
      </c>
      <c r="M659" s="7" t="s">
        <v>110</v>
      </c>
      <c r="O659" s="7" t="str">
        <f>IFERROR(__xludf.DUMMYFUNCTION("""COMPUTED_VALUE"""),"")</f>
        <v/>
      </c>
      <c r="Q659" s="7" t="s">
        <v>110</v>
      </c>
      <c r="R659" s="7" t="str">
        <f>IFERROR(__xludf.DUMMYFUNCTION("""COMPUTED_VALUE"""),"")</f>
        <v/>
      </c>
    </row>
    <row r="660">
      <c r="B660" s="8"/>
      <c r="G660" s="7" t="str">
        <f>IFERROR(__xludf.DUMMYFUNCTION("""COMPUTED_VALUE"""),"")</f>
        <v/>
      </c>
      <c r="K660" s="7" t="str">
        <f>IFERROR(__xludf.DUMMYFUNCTION("""COMPUTED_VALUE"""),"")</f>
        <v/>
      </c>
      <c r="M660" s="7" t="s">
        <v>110</v>
      </c>
      <c r="O660" s="7" t="str">
        <f>IFERROR(__xludf.DUMMYFUNCTION("""COMPUTED_VALUE"""),"")</f>
        <v/>
      </c>
      <c r="Q660" s="7" t="s">
        <v>110</v>
      </c>
      <c r="R660" s="7" t="str">
        <f>IFERROR(__xludf.DUMMYFUNCTION("""COMPUTED_VALUE"""),"")</f>
        <v/>
      </c>
    </row>
    <row r="661">
      <c r="B661" s="8"/>
      <c r="G661" s="7" t="str">
        <f>IFERROR(__xludf.DUMMYFUNCTION("""COMPUTED_VALUE"""),"")</f>
        <v/>
      </c>
      <c r="K661" s="7" t="str">
        <f>IFERROR(__xludf.DUMMYFUNCTION("""COMPUTED_VALUE"""),"")</f>
        <v/>
      </c>
      <c r="M661" s="7" t="s">
        <v>110</v>
      </c>
      <c r="O661" s="7" t="str">
        <f>IFERROR(__xludf.DUMMYFUNCTION("""COMPUTED_VALUE"""),"")</f>
        <v/>
      </c>
      <c r="Q661" s="7" t="s">
        <v>110</v>
      </c>
      <c r="R661" s="7" t="str">
        <f>IFERROR(__xludf.DUMMYFUNCTION("""COMPUTED_VALUE"""),"")</f>
        <v/>
      </c>
    </row>
    <row r="662">
      <c r="B662" s="8"/>
      <c r="G662" s="7" t="str">
        <f>IFERROR(__xludf.DUMMYFUNCTION("""COMPUTED_VALUE"""),"")</f>
        <v/>
      </c>
      <c r="K662" s="7" t="str">
        <f>IFERROR(__xludf.DUMMYFUNCTION("""COMPUTED_VALUE"""),"")</f>
        <v/>
      </c>
      <c r="M662" s="7" t="s">
        <v>110</v>
      </c>
      <c r="O662" s="7" t="str">
        <f>IFERROR(__xludf.DUMMYFUNCTION("""COMPUTED_VALUE"""),"")</f>
        <v/>
      </c>
      <c r="Q662" s="7" t="s">
        <v>110</v>
      </c>
      <c r="R662" s="7" t="str">
        <f>IFERROR(__xludf.DUMMYFUNCTION("""COMPUTED_VALUE"""),"")</f>
        <v/>
      </c>
    </row>
    <row r="663">
      <c r="B663" s="8"/>
      <c r="G663" s="7" t="str">
        <f>IFERROR(__xludf.DUMMYFUNCTION("""COMPUTED_VALUE"""),"")</f>
        <v/>
      </c>
      <c r="K663" s="7" t="str">
        <f>IFERROR(__xludf.DUMMYFUNCTION("""COMPUTED_VALUE"""),"")</f>
        <v/>
      </c>
      <c r="M663" s="7" t="s">
        <v>110</v>
      </c>
      <c r="O663" s="7" t="str">
        <f>IFERROR(__xludf.DUMMYFUNCTION("""COMPUTED_VALUE"""),"")</f>
        <v/>
      </c>
      <c r="Q663" s="7" t="s">
        <v>110</v>
      </c>
      <c r="R663" s="7" t="str">
        <f>IFERROR(__xludf.DUMMYFUNCTION("""COMPUTED_VALUE"""),"")</f>
        <v/>
      </c>
    </row>
    <row r="664">
      <c r="B664" s="8"/>
      <c r="G664" s="7" t="str">
        <f>IFERROR(__xludf.DUMMYFUNCTION("""COMPUTED_VALUE"""),"")</f>
        <v/>
      </c>
      <c r="K664" s="7" t="str">
        <f>IFERROR(__xludf.DUMMYFUNCTION("""COMPUTED_VALUE"""),"")</f>
        <v/>
      </c>
      <c r="M664" s="7" t="s">
        <v>110</v>
      </c>
      <c r="O664" s="7" t="str">
        <f>IFERROR(__xludf.DUMMYFUNCTION("""COMPUTED_VALUE"""),"")</f>
        <v/>
      </c>
      <c r="Q664" s="7" t="s">
        <v>110</v>
      </c>
      <c r="R664" s="7" t="str">
        <f>IFERROR(__xludf.DUMMYFUNCTION("""COMPUTED_VALUE"""),"")</f>
        <v/>
      </c>
    </row>
    <row r="665">
      <c r="B665" s="8"/>
      <c r="G665" s="7" t="str">
        <f>IFERROR(__xludf.DUMMYFUNCTION("""COMPUTED_VALUE"""),"")</f>
        <v/>
      </c>
      <c r="K665" s="7" t="str">
        <f>IFERROR(__xludf.DUMMYFUNCTION("""COMPUTED_VALUE"""),"")</f>
        <v/>
      </c>
      <c r="M665" s="7" t="s">
        <v>110</v>
      </c>
      <c r="O665" s="7" t="str">
        <f>IFERROR(__xludf.DUMMYFUNCTION("""COMPUTED_VALUE"""),"")</f>
        <v/>
      </c>
      <c r="Q665" s="7" t="s">
        <v>110</v>
      </c>
      <c r="R665" s="7" t="str">
        <f>IFERROR(__xludf.DUMMYFUNCTION("""COMPUTED_VALUE"""),"")</f>
        <v/>
      </c>
    </row>
    <row r="666">
      <c r="B666" s="8"/>
      <c r="G666" s="7" t="str">
        <f>IFERROR(__xludf.DUMMYFUNCTION("""COMPUTED_VALUE"""),"")</f>
        <v/>
      </c>
      <c r="K666" s="7" t="str">
        <f>IFERROR(__xludf.DUMMYFUNCTION("""COMPUTED_VALUE"""),"")</f>
        <v/>
      </c>
      <c r="M666" s="7" t="s">
        <v>110</v>
      </c>
      <c r="O666" s="7" t="str">
        <f>IFERROR(__xludf.DUMMYFUNCTION("""COMPUTED_VALUE"""),"")</f>
        <v/>
      </c>
      <c r="Q666" s="7" t="s">
        <v>110</v>
      </c>
      <c r="R666" s="7" t="str">
        <f>IFERROR(__xludf.DUMMYFUNCTION("""COMPUTED_VALUE"""),"")</f>
        <v/>
      </c>
    </row>
    <row r="667">
      <c r="B667" s="8"/>
      <c r="G667" s="7" t="str">
        <f>IFERROR(__xludf.DUMMYFUNCTION("""COMPUTED_VALUE"""),"")</f>
        <v/>
      </c>
      <c r="K667" s="7" t="str">
        <f>IFERROR(__xludf.DUMMYFUNCTION("""COMPUTED_VALUE"""),"")</f>
        <v/>
      </c>
      <c r="M667" s="7" t="s">
        <v>110</v>
      </c>
      <c r="O667" s="7" t="str">
        <f>IFERROR(__xludf.DUMMYFUNCTION("""COMPUTED_VALUE"""),"")</f>
        <v/>
      </c>
      <c r="Q667" s="7" t="s">
        <v>110</v>
      </c>
      <c r="R667" s="7" t="str">
        <f>IFERROR(__xludf.DUMMYFUNCTION("""COMPUTED_VALUE"""),"")</f>
        <v/>
      </c>
    </row>
    <row r="668">
      <c r="B668" s="8"/>
      <c r="G668" s="7" t="str">
        <f>IFERROR(__xludf.DUMMYFUNCTION("""COMPUTED_VALUE"""),"")</f>
        <v/>
      </c>
      <c r="K668" s="7" t="str">
        <f>IFERROR(__xludf.DUMMYFUNCTION("""COMPUTED_VALUE"""),"")</f>
        <v/>
      </c>
      <c r="M668" s="7" t="s">
        <v>110</v>
      </c>
      <c r="O668" s="7" t="str">
        <f>IFERROR(__xludf.DUMMYFUNCTION("""COMPUTED_VALUE"""),"")</f>
        <v/>
      </c>
      <c r="Q668" s="7" t="s">
        <v>110</v>
      </c>
      <c r="R668" s="7" t="str">
        <f>IFERROR(__xludf.DUMMYFUNCTION("""COMPUTED_VALUE"""),"")</f>
        <v/>
      </c>
    </row>
    <row r="669">
      <c r="B669" s="8"/>
      <c r="G669" s="7" t="str">
        <f>IFERROR(__xludf.DUMMYFUNCTION("""COMPUTED_VALUE"""),"")</f>
        <v/>
      </c>
      <c r="K669" s="7" t="str">
        <f>IFERROR(__xludf.DUMMYFUNCTION("""COMPUTED_VALUE"""),"")</f>
        <v/>
      </c>
      <c r="M669" s="7" t="s">
        <v>110</v>
      </c>
      <c r="O669" s="7" t="str">
        <f>IFERROR(__xludf.DUMMYFUNCTION("""COMPUTED_VALUE"""),"")</f>
        <v/>
      </c>
      <c r="Q669" s="7" t="s">
        <v>110</v>
      </c>
      <c r="R669" s="7" t="str">
        <f>IFERROR(__xludf.DUMMYFUNCTION("""COMPUTED_VALUE"""),"")</f>
        <v/>
      </c>
    </row>
    <row r="670">
      <c r="B670" s="8"/>
      <c r="G670" s="7" t="str">
        <f>IFERROR(__xludf.DUMMYFUNCTION("""COMPUTED_VALUE"""),"")</f>
        <v/>
      </c>
      <c r="K670" s="7" t="str">
        <f>IFERROR(__xludf.DUMMYFUNCTION("""COMPUTED_VALUE"""),"")</f>
        <v/>
      </c>
      <c r="M670" s="7" t="s">
        <v>110</v>
      </c>
      <c r="O670" s="7" t="str">
        <f>IFERROR(__xludf.DUMMYFUNCTION("""COMPUTED_VALUE"""),"")</f>
        <v/>
      </c>
      <c r="Q670" s="7" t="s">
        <v>110</v>
      </c>
      <c r="R670" s="7" t="str">
        <f>IFERROR(__xludf.DUMMYFUNCTION("""COMPUTED_VALUE"""),"")</f>
        <v/>
      </c>
    </row>
    <row r="671">
      <c r="B671" s="8"/>
      <c r="G671" s="7" t="str">
        <f>IFERROR(__xludf.DUMMYFUNCTION("""COMPUTED_VALUE"""),"")</f>
        <v/>
      </c>
      <c r="K671" s="7" t="str">
        <f>IFERROR(__xludf.DUMMYFUNCTION("""COMPUTED_VALUE"""),"")</f>
        <v/>
      </c>
      <c r="M671" s="7" t="s">
        <v>110</v>
      </c>
      <c r="O671" s="7" t="str">
        <f>IFERROR(__xludf.DUMMYFUNCTION("""COMPUTED_VALUE"""),"")</f>
        <v/>
      </c>
      <c r="Q671" s="7" t="s">
        <v>110</v>
      </c>
      <c r="R671" s="7" t="str">
        <f>IFERROR(__xludf.DUMMYFUNCTION("""COMPUTED_VALUE"""),"")</f>
        <v/>
      </c>
    </row>
    <row r="672">
      <c r="B672" s="8"/>
      <c r="G672" s="7" t="str">
        <f>IFERROR(__xludf.DUMMYFUNCTION("""COMPUTED_VALUE"""),"")</f>
        <v/>
      </c>
      <c r="K672" s="7" t="str">
        <f>IFERROR(__xludf.DUMMYFUNCTION("""COMPUTED_VALUE"""),"")</f>
        <v/>
      </c>
      <c r="M672" s="7" t="s">
        <v>110</v>
      </c>
      <c r="O672" s="7" t="str">
        <f>IFERROR(__xludf.DUMMYFUNCTION("""COMPUTED_VALUE"""),"")</f>
        <v/>
      </c>
      <c r="Q672" s="7" t="s">
        <v>110</v>
      </c>
      <c r="R672" s="7" t="str">
        <f>IFERROR(__xludf.DUMMYFUNCTION("""COMPUTED_VALUE"""),"")</f>
        <v/>
      </c>
    </row>
    <row r="673">
      <c r="B673" s="8"/>
      <c r="G673" s="7" t="str">
        <f>IFERROR(__xludf.DUMMYFUNCTION("""COMPUTED_VALUE"""),"")</f>
        <v/>
      </c>
      <c r="K673" s="7" t="str">
        <f>IFERROR(__xludf.DUMMYFUNCTION("""COMPUTED_VALUE"""),"")</f>
        <v/>
      </c>
      <c r="M673" s="7" t="s">
        <v>110</v>
      </c>
      <c r="O673" s="7" t="str">
        <f>IFERROR(__xludf.DUMMYFUNCTION("""COMPUTED_VALUE"""),"")</f>
        <v/>
      </c>
      <c r="Q673" s="7" t="s">
        <v>110</v>
      </c>
      <c r="R673" s="7" t="str">
        <f>IFERROR(__xludf.DUMMYFUNCTION("""COMPUTED_VALUE"""),"")</f>
        <v/>
      </c>
    </row>
    <row r="674">
      <c r="B674" s="8"/>
      <c r="G674" s="7" t="str">
        <f>IFERROR(__xludf.DUMMYFUNCTION("""COMPUTED_VALUE"""),"")</f>
        <v/>
      </c>
      <c r="K674" s="7" t="str">
        <f>IFERROR(__xludf.DUMMYFUNCTION("""COMPUTED_VALUE"""),"")</f>
        <v/>
      </c>
      <c r="M674" s="7" t="s">
        <v>110</v>
      </c>
      <c r="O674" s="7" t="str">
        <f>IFERROR(__xludf.DUMMYFUNCTION("""COMPUTED_VALUE"""),"")</f>
        <v/>
      </c>
      <c r="Q674" s="7" t="s">
        <v>110</v>
      </c>
      <c r="R674" s="7" t="str">
        <f>IFERROR(__xludf.DUMMYFUNCTION("""COMPUTED_VALUE"""),"")</f>
        <v/>
      </c>
    </row>
    <row r="675">
      <c r="B675" s="8"/>
      <c r="G675" s="7" t="str">
        <f>IFERROR(__xludf.DUMMYFUNCTION("""COMPUTED_VALUE"""),"")</f>
        <v/>
      </c>
      <c r="K675" s="7" t="str">
        <f>IFERROR(__xludf.DUMMYFUNCTION("""COMPUTED_VALUE"""),"")</f>
        <v/>
      </c>
      <c r="M675" s="7" t="s">
        <v>110</v>
      </c>
      <c r="O675" s="7" t="str">
        <f>IFERROR(__xludf.DUMMYFUNCTION("""COMPUTED_VALUE"""),"")</f>
        <v/>
      </c>
      <c r="Q675" s="7" t="s">
        <v>110</v>
      </c>
      <c r="R675" s="7" t="str">
        <f>IFERROR(__xludf.DUMMYFUNCTION("""COMPUTED_VALUE"""),"")</f>
        <v/>
      </c>
    </row>
    <row r="676">
      <c r="B676" s="8"/>
      <c r="G676" s="7" t="str">
        <f>IFERROR(__xludf.DUMMYFUNCTION("""COMPUTED_VALUE"""),"")</f>
        <v/>
      </c>
      <c r="K676" s="7" t="str">
        <f>IFERROR(__xludf.DUMMYFUNCTION("""COMPUTED_VALUE"""),"")</f>
        <v/>
      </c>
      <c r="M676" s="7" t="s">
        <v>110</v>
      </c>
      <c r="O676" s="7" t="str">
        <f>IFERROR(__xludf.DUMMYFUNCTION("""COMPUTED_VALUE"""),"")</f>
        <v/>
      </c>
      <c r="Q676" s="7" t="s">
        <v>110</v>
      </c>
      <c r="R676" s="7" t="str">
        <f>IFERROR(__xludf.DUMMYFUNCTION("""COMPUTED_VALUE"""),"")</f>
        <v/>
      </c>
    </row>
    <row r="677">
      <c r="B677" s="8"/>
      <c r="G677" s="7" t="str">
        <f>IFERROR(__xludf.DUMMYFUNCTION("""COMPUTED_VALUE"""),"")</f>
        <v/>
      </c>
      <c r="K677" s="7" t="str">
        <f>IFERROR(__xludf.DUMMYFUNCTION("""COMPUTED_VALUE"""),"")</f>
        <v/>
      </c>
      <c r="M677" s="7" t="s">
        <v>110</v>
      </c>
      <c r="O677" s="7" t="str">
        <f>IFERROR(__xludf.DUMMYFUNCTION("""COMPUTED_VALUE"""),"")</f>
        <v/>
      </c>
      <c r="Q677" s="7" t="s">
        <v>110</v>
      </c>
      <c r="R677" s="7" t="str">
        <f>IFERROR(__xludf.DUMMYFUNCTION("""COMPUTED_VALUE"""),"")</f>
        <v/>
      </c>
    </row>
    <row r="678">
      <c r="B678" s="8"/>
      <c r="G678" s="7" t="str">
        <f>IFERROR(__xludf.DUMMYFUNCTION("""COMPUTED_VALUE"""),"")</f>
        <v/>
      </c>
      <c r="K678" s="7" t="str">
        <f>IFERROR(__xludf.DUMMYFUNCTION("""COMPUTED_VALUE"""),"")</f>
        <v/>
      </c>
      <c r="M678" s="7" t="s">
        <v>110</v>
      </c>
      <c r="O678" s="7" t="str">
        <f>IFERROR(__xludf.DUMMYFUNCTION("""COMPUTED_VALUE"""),"")</f>
        <v/>
      </c>
      <c r="Q678" s="7" t="s">
        <v>110</v>
      </c>
      <c r="R678" s="7" t="str">
        <f>IFERROR(__xludf.DUMMYFUNCTION("""COMPUTED_VALUE"""),"")</f>
        <v/>
      </c>
    </row>
    <row r="679">
      <c r="B679" s="8"/>
      <c r="G679" s="7" t="str">
        <f>IFERROR(__xludf.DUMMYFUNCTION("""COMPUTED_VALUE"""),"")</f>
        <v/>
      </c>
      <c r="K679" s="7" t="str">
        <f>IFERROR(__xludf.DUMMYFUNCTION("""COMPUTED_VALUE"""),"")</f>
        <v/>
      </c>
      <c r="M679" s="7" t="s">
        <v>110</v>
      </c>
      <c r="O679" s="7" t="str">
        <f>IFERROR(__xludf.DUMMYFUNCTION("""COMPUTED_VALUE"""),"")</f>
        <v/>
      </c>
      <c r="Q679" s="7" t="s">
        <v>110</v>
      </c>
      <c r="R679" s="7" t="str">
        <f>IFERROR(__xludf.DUMMYFUNCTION("""COMPUTED_VALUE"""),"")</f>
        <v/>
      </c>
    </row>
    <row r="680">
      <c r="B680" s="8"/>
      <c r="G680" s="7" t="str">
        <f>IFERROR(__xludf.DUMMYFUNCTION("""COMPUTED_VALUE"""),"")</f>
        <v/>
      </c>
      <c r="K680" s="7" t="str">
        <f>IFERROR(__xludf.DUMMYFUNCTION("""COMPUTED_VALUE"""),"")</f>
        <v/>
      </c>
      <c r="M680" s="7" t="s">
        <v>110</v>
      </c>
      <c r="O680" s="7" t="str">
        <f>IFERROR(__xludf.DUMMYFUNCTION("""COMPUTED_VALUE"""),"")</f>
        <v/>
      </c>
      <c r="Q680" s="7" t="s">
        <v>110</v>
      </c>
      <c r="R680" s="7" t="str">
        <f>IFERROR(__xludf.DUMMYFUNCTION("""COMPUTED_VALUE"""),"")</f>
        <v/>
      </c>
    </row>
    <row r="681">
      <c r="B681" s="8"/>
      <c r="G681" s="7" t="str">
        <f>IFERROR(__xludf.DUMMYFUNCTION("""COMPUTED_VALUE"""),"")</f>
        <v/>
      </c>
      <c r="K681" s="7" t="str">
        <f>IFERROR(__xludf.DUMMYFUNCTION("""COMPUTED_VALUE"""),"")</f>
        <v/>
      </c>
      <c r="M681" s="7" t="s">
        <v>110</v>
      </c>
      <c r="O681" s="7" t="str">
        <f>IFERROR(__xludf.DUMMYFUNCTION("""COMPUTED_VALUE"""),"")</f>
        <v/>
      </c>
      <c r="Q681" s="7" t="s">
        <v>110</v>
      </c>
      <c r="R681" s="7" t="str">
        <f>IFERROR(__xludf.DUMMYFUNCTION("""COMPUTED_VALUE"""),"")</f>
        <v/>
      </c>
    </row>
    <row r="682">
      <c r="B682" s="8"/>
      <c r="G682" s="7" t="str">
        <f>IFERROR(__xludf.DUMMYFUNCTION("""COMPUTED_VALUE"""),"")</f>
        <v/>
      </c>
      <c r="K682" s="7" t="str">
        <f>IFERROR(__xludf.DUMMYFUNCTION("""COMPUTED_VALUE"""),"")</f>
        <v/>
      </c>
      <c r="M682" s="7" t="s">
        <v>110</v>
      </c>
      <c r="O682" s="7" t="str">
        <f>IFERROR(__xludf.DUMMYFUNCTION("""COMPUTED_VALUE"""),"")</f>
        <v/>
      </c>
      <c r="Q682" s="7" t="s">
        <v>110</v>
      </c>
      <c r="R682" s="7" t="str">
        <f>IFERROR(__xludf.DUMMYFUNCTION("""COMPUTED_VALUE"""),"")</f>
        <v/>
      </c>
    </row>
    <row r="683">
      <c r="B683" s="8"/>
      <c r="G683" s="7" t="str">
        <f>IFERROR(__xludf.DUMMYFUNCTION("""COMPUTED_VALUE"""),"")</f>
        <v/>
      </c>
      <c r="K683" s="7" t="str">
        <f>IFERROR(__xludf.DUMMYFUNCTION("""COMPUTED_VALUE"""),"")</f>
        <v/>
      </c>
      <c r="M683" s="7" t="s">
        <v>110</v>
      </c>
      <c r="O683" s="7" t="str">
        <f>IFERROR(__xludf.DUMMYFUNCTION("""COMPUTED_VALUE"""),"")</f>
        <v/>
      </c>
      <c r="Q683" s="7" t="s">
        <v>110</v>
      </c>
      <c r="R683" s="7" t="str">
        <f>IFERROR(__xludf.DUMMYFUNCTION("""COMPUTED_VALUE"""),"")</f>
        <v/>
      </c>
    </row>
    <row r="684">
      <c r="B684" s="8"/>
      <c r="G684" s="7" t="str">
        <f>IFERROR(__xludf.DUMMYFUNCTION("""COMPUTED_VALUE"""),"")</f>
        <v/>
      </c>
      <c r="K684" s="7" t="str">
        <f>IFERROR(__xludf.DUMMYFUNCTION("""COMPUTED_VALUE"""),"")</f>
        <v/>
      </c>
      <c r="M684" s="7" t="s">
        <v>110</v>
      </c>
      <c r="O684" s="7" t="str">
        <f>IFERROR(__xludf.DUMMYFUNCTION("""COMPUTED_VALUE"""),"")</f>
        <v/>
      </c>
      <c r="Q684" s="7" t="s">
        <v>110</v>
      </c>
      <c r="R684" s="7" t="str">
        <f>IFERROR(__xludf.DUMMYFUNCTION("""COMPUTED_VALUE"""),"")</f>
        <v/>
      </c>
    </row>
    <row r="685">
      <c r="B685" s="8"/>
      <c r="G685" s="7" t="str">
        <f>IFERROR(__xludf.DUMMYFUNCTION("""COMPUTED_VALUE"""),"")</f>
        <v/>
      </c>
      <c r="K685" s="7" t="str">
        <f>IFERROR(__xludf.DUMMYFUNCTION("""COMPUTED_VALUE"""),"")</f>
        <v/>
      </c>
      <c r="M685" s="7" t="s">
        <v>110</v>
      </c>
      <c r="O685" s="7" t="str">
        <f>IFERROR(__xludf.DUMMYFUNCTION("""COMPUTED_VALUE"""),"")</f>
        <v/>
      </c>
      <c r="Q685" s="7" t="s">
        <v>110</v>
      </c>
      <c r="R685" s="7" t="str">
        <f>IFERROR(__xludf.DUMMYFUNCTION("""COMPUTED_VALUE"""),"")</f>
        <v/>
      </c>
    </row>
    <row r="686">
      <c r="B686" s="8"/>
      <c r="G686" s="7" t="str">
        <f>IFERROR(__xludf.DUMMYFUNCTION("""COMPUTED_VALUE"""),"")</f>
        <v/>
      </c>
      <c r="K686" s="7" t="str">
        <f>IFERROR(__xludf.DUMMYFUNCTION("""COMPUTED_VALUE"""),"")</f>
        <v/>
      </c>
      <c r="M686" s="7" t="s">
        <v>110</v>
      </c>
      <c r="O686" s="7" t="str">
        <f>IFERROR(__xludf.DUMMYFUNCTION("""COMPUTED_VALUE"""),"")</f>
        <v/>
      </c>
      <c r="Q686" s="7" t="s">
        <v>110</v>
      </c>
      <c r="R686" s="7" t="str">
        <f>IFERROR(__xludf.DUMMYFUNCTION("""COMPUTED_VALUE"""),"")</f>
        <v/>
      </c>
    </row>
    <row r="687">
      <c r="B687" s="8"/>
      <c r="G687" s="7" t="str">
        <f>IFERROR(__xludf.DUMMYFUNCTION("""COMPUTED_VALUE"""),"")</f>
        <v/>
      </c>
      <c r="K687" s="7" t="str">
        <f>IFERROR(__xludf.DUMMYFUNCTION("""COMPUTED_VALUE"""),"")</f>
        <v/>
      </c>
      <c r="M687" s="7" t="s">
        <v>110</v>
      </c>
      <c r="O687" s="7" t="str">
        <f>IFERROR(__xludf.DUMMYFUNCTION("""COMPUTED_VALUE"""),"")</f>
        <v/>
      </c>
      <c r="Q687" s="7" t="s">
        <v>110</v>
      </c>
      <c r="R687" s="7" t="str">
        <f>IFERROR(__xludf.DUMMYFUNCTION("""COMPUTED_VALUE"""),"")</f>
        <v/>
      </c>
    </row>
    <row r="688">
      <c r="B688" s="8"/>
      <c r="G688" s="7" t="str">
        <f>IFERROR(__xludf.DUMMYFUNCTION("""COMPUTED_VALUE"""),"")</f>
        <v/>
      </c>
      <c r="K688" s="7" t="str">
        <f>IFERROR(__xludf.DUMMYFUNCTION("""COMPUTED_VALUE"""),"")</f>
        <v/>
      </c>
      <c r="M688" s="7" t="s">
        <v>110</v>
      </c>
      <c r="O688" s="7" t="str">
        <f>IFERROR(__xludf.DUMMYFUNCTION("""COMPUTED_VALUE"""),"")</f>
        <v/>
      </c>
      <c r="Q688" s="7" t="s">
        <v>110</v>
      </c>
      <c r="R688" s="7" t="str">
        <f>IFERROR(__xludf.DUMMYFUNCTION("""COMPUTED_VALUE"""),"")</f>
        <v/>
      </c>
    </row>
    <row r="689">
      <c r="B689" s="8"/>
      <c r="G689" s="7" t="str">
        <f>IFERROR(__xludf.DUMMYFUNCTION("""COMPUTED_VALUE"""),"")</f>
        <v/>
      </c>
      <c r="K689" s="7" t="str">
        <f>IFERROR(__xludf.DUMMYFUNCTION("""COMPUTED_VALUE"""),"")</f>
        <v/>
      </c>
      <c r="M689" s="7" t="s">
        <v>110</v>
      </c>
      <c r="O689" s="7" t="str">
        <f>IFERROR(__xludf.DUMMYFUNCTION("""COMPUTED_VALUE"""),"")</f>
        <v/>
      </c>
      <c r="Q689" s="7" t="s">
        <v>110</v>
      </c>
      <c r="R689" s="7" t="str">
        <f>IFERROR(__xludf.DUMMYFUNCTION("""COMPUTED_VALUE"""),"")</f>
        <v/>
      </c>
    </row>
    <row r="690">
      <c r="B690" s="8"/>
      <c r="G690" s="7" t="str">
        <f>IFERROR(__xludf.DUMMYFUNCTION("""COMPUTED_VALUE"""),"")</f>
        <v/>
      </c>
      <c r="K690" s="7" t="str">
        <f>IFERROR(__xludf.DUMMYFUNCTION("""COMPUTED_VALUE"""),"")</f>
        <v/>
      </c>
      <c r="M690" s="7" t="s">
        <v>110</v>
      </c>
      <c r="O690" s="7" t="str">
        <f>IFERROR(__xludf.DUMMYFUNCTION("""COMPUTED_VALUE"""),"")</f>
        <v/>
      </c>
      <c r="Q690" s="7" t="s">
        <v>110</v>
      </c>
      <c r="R690" s="7" t="str">
        <f>IFERROR(__xludf.DUMMYFUNCTION("""COMPUTED_VALUE"""),"")</f>
        <v/>
      </c>
    </row>
    <row r="691">
      <c r="B691" s="8"/>
      <c r="G691" s="7" t="str">
        <f>IFERROR(__xludf.DUMMYFUNCTION("""COMPUTED_VALUE"""),"")</f>
        <v/>
      </c>
      <c r="K691" s="7" t="str">
        <f>IFERROR(__xludf.DUMMYFUNCTION("""COMPUTED_VALUE"""),"")</f>
        <v/>
      </c>
      <c r="M691" s="7" t="s">
        <v>110</v>
      </c>
      <c r="O691" s="7" t="str">
        <f>IFERROR(__xludf.DUMMYFUNCTION("""COMPUTED_VALUE"""),"")</f>
        <v/>
      </c>
      <c r="Q691" s="7" t="s">
        <v>110</v>
      </c>
      <c r="R691" s="7" t="str">
        <f>IFERROR(__xludf.DUMMYFUNCTION("""COMPUTED_VALUE"""),"")</f>
        <v/>
      </c>
    </row>
    <row r="692">
      <c r="B692" s="8"/>
      <c r="G692" s="7" t="str">
        <f>IFERROR(__xludf.DUMMYFUNCTION("""COMPUTED_VALUE"""),"")</f>
        <v/>
      </c>
      <c r="K692" s="7" t="str">
        <f>IFERROR(__xludf.DUMMYFUNCTION("""COMPUTED_VALUE"""),"")</f>
        <v/>
      </c>
      <c r="M692" s="7" t="s">
        <v>110</v>
      </c>
      <c r="O692" s="7" t="str">
        <f>IFERROR(__xludf.DUMMYFUNCTION("""COMPUTED_VALUE"""),"")</f>
        <v/>
      </c>
      <c r="Q692" s="7" t="s">
        <v>110</v>
      </c>
      <c r="R692" s="7" t="str">
        <f>IFERROR(__xludf.DUMMYFUNCTION("""COMPUTED_VALUE"""),"")</f>
        <v/>
      </c>
    </row>
    <row r="693">
      <c r="B693" s="8"/>
      <c r="G693" s="7" t="str">
        <f>IFERROR(__xludf.DUMMYFUNCTION("""COMPUTED_VALUE"""),"")</f>
        <v/>
      </c>
      <c r="K693" s="7" t="str">
        <f>IFERROR(__xludf.DUMMYFUNCTION("""COMPUTED_VALUE"""),"")</f>
        <v/>
      </c>
      <c r="M693" s="7" t="s">
        <v>110</v>
      </c>
      <c r="O693" s="7" t="str">
        <f>IFERROR(__xludf.DUMMYFUNCTION("""COMPUTED_VALUE"""),"")</f>
        <v/>
      </c>
      <c r="Q693" s="7" t="s">
        <v>110</v>
      </c>
      <c r="R693" s="7" t="str">
        <f>IFERROR(__xludf.DUMMYFUNCTION("""COMPUTED_VALUE"""),"")</f>
        <v/>
      </c>
    </row>
    <row r="694">
      <c r="B694" s="8"/>
      <c r="G694" s="7" t="str">
        <f>IFERROR(__xludf.DUMMYFUNCTION("""COMPUTED_VALUE"""),"")</f>
        <v/>
      </c>
      <c r="K694" s="7" t="str">
        <f>IFERROR(__xludf.DUMMYFUNCTION("""COMPUTED_VALUE"""),"")</f>
        <v/>
      </c>
      <c r="M694" s="7" t="s">
        <v>110</v>
      </c>
      <c r="O694" s="7" t="str">
        <f>IFERROR(__xludf.DUMMYFUNCTION("""COMPUTED_VALUE"""),"")</f>
        <v/>
      </c>
      <c r="Q694" s="7" t="s">
        <v>110</v>
      </c>
      <c r="R694" s="7" t="str">
        <f>IFERROR(__xludf.DUMMYFUNCTION("""COMPUTED_VALUE"""),"")</f>
        <v/>
      </c>
    </row>
    <row r="695">
      <c r="B695" s="8"/>
      <c r="G695" s="7" t="str">
        <f>IFERROR(__xludf.DUMMYFUNCTION("""COMPUTED_VALUE"""),"")</f>
        <v/>
      </c>
      <c r="K695" s="7" t="str">
        <f>IFERROR(__xludf.DUMMYFUNCTION("""COMPUTED_VALUE"""),"")</f>
        <v/>
      </c>
      <c r="M695" s="7" t="s">
        <v>110</v>
      </c>
      <c r="O695" s="7" t="str">
        <f>IFERROR(__xludf.DUMMYFUNCTION("""COMPUTED_VALUE"""),"")</f>
        <v/>
      </c>
      <c r="Q695" s="7" t="s">
        <v>110</v>
      </c>
      <c r="R695" s="7" t="str">
        <f>IFERROR(__xludf.DUMMYFUNCTION("""COMPUTED_VALUE"""),"")</f>
        <v/>
      </c>
    </row>
    <row r="696">
      <c r="B696" s="8"/>
      <c r="G696" s="7" t="str">
        <f>IFERROR(__xludf.DUMMYFUNCTION("""COMPUTED_VALUE"""),"")</f>
        <v/>
      </c>
      <c r="K696" s="7" t="str">
        <f>IFERROR(__xludf.DUMMYFUNCTION("""COMPUTED_VALUE"""),"")</f>
        <v/>
      </c>
      <c r="M696" s="7" t="s">
        <v>110</v>
      </c>
      <c r="O696" s="7" t="str">
        <f>IFERROR(__xludf.DUMMYFUNCTION("""COMPUTED_VALUE"""),"")</f>
        <v/>
      </c>
      <c r="Q696" s="7" t="s">
        <v>110</v>
      </c>
      <c r="R696" s="7" t="str">
        <f>IFERROR(__xludf.DUMMYFUNCTION("""COMPUTED_VALUE"""),"")</f>
        <v/>
      </c>
    </row>
    <row r="697">
      <c r="B697" s="8"/>
      <c r="G697" s="7" t="str">
        <f>IFERROR(__xludf.DUMMYFUNCTION("""COMPUTED_VALUE"""),"")</f>
        <v/>
      </c>
      <c r="K697" s="7" t="str">
        <f>IFERROR(__xludf.DUMMYFUNCTION("""COMPUTED_VALUE"""),"")</f>
        <v/>
      </c>
      <c r="M697" s="7" t="s">
        <v>110</v>
      </c>
      <c r="O697" s="7" t="str">
        <f>IFERROR(__xludf.DUMMYFUNCTION("""COMPUTED_VALUE"""),"")</f>
        <v/>
      </c>
      <c r="Q697" s="7" t="s">
        <v>110</v>
      </c>
      <c r="R697" s="7" t="str">
        <f>IFERROR(__xludf.DUMMYFUNCTION("""COMPUTED_VALUE"""),"")</f>
        <v/>
      </c>
    </row>
    <row r="698">
      <c r="B698" s="8"/>
      <c r="G698" s="7" t="str">
        <f>IFERROR(__xludf.DUMMYFUNCTION("""COMPUTED_VALUE"""),"")</f>
        <v/>
      </c>
      <c r="K698" s="7" t="str">
        <f>IFERROR(__xludf.DUMMYFUNCTION("""COMPUTED_VALUE"""),"")</f>
        <v/>
      </c>
      <c r="M698" s="7" t="s">
        <v>110</v>
      </c>
      <c r="O698" s="7" t="str">
        <f>IFERROR(__xludf.DUMMYFUNCTION("""COMPUTED_VALUE"""),"")</f>
        <v/>
      </c>
      <c r="Q698" s="7" t="s">
        <v>110</v>
      </c>
      <c r="R698" s="7" t="str">
        <f>IFERROR(__xludf.DUMMYFUNCTION("""COMPUTED_VALUE"""),"")</f>
        <v/>
      </c>
    </row>
    <row r="699">
      <c r="B699" s="8"/>
      <c r="G699" s="7" t="str">
        <f>IFERROR(__xludf.DUMMYFUNCTION("""COMPUTED_VALUE"""),"")</f>
        <v/>
      </c>
      <c r="K699" s="7" t="str">
        <f>IFERROR(__xludf.DUMMYFUNCTION("""COMPUTED_VALUE"""),"")</f>
        <v/>
      </c>
      <c r="M699" s="7" t="s">
        <v>110</v>
      </c>
      <c r="O699" s="7" t="str">
        <f>IFERROR(__xludf.DUMMYFUNCTION("""COMPUTED_VALUE"""),"")</f>
        <v/>
      </c>
      <c r="Q699" s="7" t="s">
        <v>110</v>
      </c>
      <c r="R699" s="7" t="str">
        <f>IFERROR(__xludf.DUMMYFUNCTION("""COMPUTED_VALUE"""),"")</f>
        <v/>
      </c>
    </row>
    <row r="700">
      <c r="B700" s="8"/>
      <c r="G700" s="7" t="str">
        <f>IFERROR(__xludf.DUMMYFUNCTION("""COMPUTED_VALUE"""),"")</f>
        <v/>
      </c>
      <c r="K700" s="7" t="str">
        <f>IFERROR(__xludf.DUMMYFUNCTION("""COMPUTED_VALUE"""),"")</f>
        <v/>
      </c>
      <c r="M700" s="7" t="s">
        <v>110</v>
      </c>
      <c r="O700" s="7" t="str">
        <f>IFERROR(__xludf.DUMMYFUNCTION("""COMPUTED_VALUE"""),"")</f>
        <v/>
      </c>
      <c r="Q700" s="7" t="s">
        <v>110</v>
      </c>
      <c r="R700" s="7" t="str">
        <f>IFERROR(__xludf.DUMMYFUNCTION("""COMPUTED_VALUE"""),"")</f>
        <v/>
      </c>
    </row>
    <row r="701">
      <c r="B701" s="8"/>
      <c r="G701" s="7" t="str">
        <f>IFERROR(__xludf.DUMMYFUNCTION("""COMPUTED_VALUE"""),"")</f>
        <v/>
      </c>
      <c r="K701" s="7" t="str">
        <f>IFERROR(__xludf.DUMMYFUNCTION("""COMPUTED_VALUE"""),"")</f>
        <v/>
      </c>
      <c r="M701" s="7" t="s">
        <v>110</v>
      </c>
      <c r="O701" s="7" t="str">
        <f>IFERROR(__xludf.DUMMYFUNCTION("""COMPUTED_VALUE"""),"")</f>
        <v/>
      </c>
      <c r="Q701" s="7" t="s">
        <v>110</v>
      </c>
      <c r="R701" s="7" t="str">
        <f>IFERROR(__xludf.DUMMYFUNCTION("""COMPUTED_VALUE"""),"")</f>
        <v/>
      </c>
    </row>
    <row r="702">
      <c r="B702" s="8"/>
      <c r="G702" s="7" t="str">
        <f>IFERROR(__xludf.DUMMYFUNCTION("""COMPUTED_VALUE"""),"")</f>
        <v/>
      </c>
      <c r="K702" s="7" t="str">
        <f>IFERROR(__xludf.DUMMYFUNCTION("""COMPUTED_VALUE"""),"")</f>
        <v/>
      </c>
      <c r="M702" s="7" t="s">
        <v>110</v>
      </c>
      <c r="O702" s="7" t="str">
        <f>IFERROR(__xludf.DUMMYFUNCTION("""COMPUTED_VALUE"""),"")</f>
        <v/>
      </c>
      <c r="Q702" s="7" t="s">
        <v>110</v>
      </c>
      <c r="R702" s="7" t="str">
        <f>IFERROR(__xludf.DUMMYFUNCTION("""COMPUTED_VALUE"""),"")</f>
        <v/>
      </c>
    </row>
    <row r="703">
      <c r="B703" s="8"/>
      <c r="G703" s="7" t="str">
        <f>IFERROR(__xludf.DUMMYFUNCTION("""COMPUTED_VALUE"""),"")</f>
        <v/>
      </c>
      <c r="K703" s="7" t="str">
        <f>IFERROR(__xludf.DUMMYFUNCTION("""COMPUTED_VALUE"""),"")</f>
        <v/>
      </c>
      <c r="M703" s="7" t="s">
        <v>110</v>
      </c>
      <c r="O703" s="7" t="str">
        <f>IFERROR(__xludf.DUMMYFUNCTION("""COMPUTED_VALUE"""),"")</f>
        <v/>
      </c>
      <c r="Q703" s="7" t="s">
        <v>110</v>
      </c>
      <c r="R703" s="7" t="str">
        <f>IFERROR(__xludf.DUMMYFUNCTION("""COMPUTED_VALUE"""),"")</f>
        <v/>
      </c>
    </row>
    <row r="704">
      <c r="B704" s="8"/>
      <c r="G704" s="7" t="str">
        <f>IFERROR(__xludf.DUMMYFUNCTION("""COMPUTED_VALUE"""),"")</f>
        <v/>
      </c>
      <c r="K704" s="7" t="str">
        <f>IFERROR(__xludf.DUMMYFUNCTION("""COMPUTED_VALUE"""),"")</f>
        <v/>
      </c>
      <c r="M704" s="7" t="s">
        <v>110</v>
      </c>
      <c r="O704" s="7" t="str">
        <f>IFERROR(__xludf.DUMMYFUNCTION("""COMPUTED_VALUE"""),"")</f>
        <v/>
      </c>
      <c r="Q704" s="7" t="s">
        <v>110</v>
      </c>
      <c r="R704" s="7" t="str">
        <f>IFERROR(__xludf.DUMMYFUNCTION("""COMPUTED_VALUE"""),"")</f>
        <v/>
      </c>
    </row>
    <row r="705">
      <c r="B705" s="8"/>
      <c r="G705" s="7" t="str">
        <f>IFERROR(__xludf.DUMMYFUNCTION("""COMPUTED_VALUE"""),"")</f>
        <v/>
      </c>
      <c r="K705" s="7" t="str">
        <f>IFERROR(__xludf.DUMMYFUNCTION("""COMPUTED_VALUE"""),"")</f>
        <v/>
      </c>
      <c r="M705" s="7" t="s">
        <v>110</v>
      </c>
      <c r="O705" s="7" t="str">
        <f>IFERROR(__xludf.DUMMYFUNCTION("""COMPUTED_VALUE"""),"")</f>
        <v/>
      </c>
      <c r="Q705" s="7" t="s">
        <v>110</v>
      </c>
      <c r="R705" s="7" t="str">
        <f>IFERROR(__xludf.DUMMYFUNCTION("""COMPUTED_VALUE"""),"")</f>
        <v/>
      </c>
    </row>
    <row r="706">
      <c r="B706" s="8"/>
      <c r="G706" s="7" t="str">
        <f>IFERROR(__xludf.DUMMYFUNCTION("""COMPUTED_VALUE"""),"")</f>
        <v/>
      </c>
      <c r="K706" s="7" t="str">
        <f>IFERROR(__xludf.DUMMYFUNCTION("""COMPUTED_VALUE"""),"")</f>
        <v/>
      </c>
      <c r="M706" s="7" t="s">
        <v>110</v>
      </c>
      <c r="O706" s="7" t="str">
        <f>IFERROR(__xludf.DUMMYFUNCTION("""COMPUTED_VALUE"""),"")</f>
        <v/>
      </c>
      <c r="Q706" s="7" t="s">
        <v>110</v>
      </c>
      <c r="R706" s="7" t="str">
        <f>IFERROR(__xludf.DUMMYFUNCTION("""COMPUTED_VALUE"""),"")</f>
        <v/>
      </c>
    </row>
    <row r="707">
      <c r="B707" s="8"/>
      <c r="G707" s="7" t="str">
        <f>IFERROR(__xludf.DUMMYFUNCTION("""COMPUTED_VALUE"""),"")</f>
        <v/>
      </c>
      <c r="K707" s="7" t="str">
        <f>IFERROR(__xludf.DUMMYFUNCTION("""COMPUTED_VALUE"""),"")</f>
        <v/>
      </c>
      <c r="M707" s="7" t="s">
        <v>110</v>
      </c>
      <c r="O707" s="7" t="str">
        <f>IFERROR(__xludf.DUMMYFUNCTION("""COMPUTED_VALUE"""),"")</f>
        <v/>
      </c>
      <c r="Q707" s="7" t="s">
        <v>110</v>
      </c>
      <c r="R707" s="7" t="str">
        <f>IFERROR(__xludf.DUMMYFUNCTION("""COMPUTED_VALUE"""),"")</f>
        <v/>
      </c>
    </row>
    <row r="708">
      <c r="B708" s="8"/>
      <c r="G708" s="7" t="str">
        <f>IFERROR(__xludf.DUMMYFUNCTION("""COMPUTED_VALUE"""),"")</f>
        <v/>
      </c>
      <c r="K708" s="7" t="str">
        <f>IFERROR(__xludf.DUMMYFUNCTION("""COMPUTED_VALUE"""),"")</f>
        <v/>
      </c>
      <c r="M708" s="7" t="s">
        <v>110</v>
      </c>
      <c r="O708" s="7" t="str">
        <f>IFERROR(__xludf.DUMMYFUNCTION("""COMPUTED_VALUE"""),"")</f>
        <v/>
      </c>
      <c r="Q708" s="7" t="s">
        <v>110</v>
      </c>
      <c r="R708" s="7" t="str">
        <f>IFERROR(__xludf.DUMMYFUNCTION("""COMPUTED_VALUE"""),"")</f>
        <v/>
      </c>
    </row>
    <row r="709">
      <c r="B709" s="8"/>
      <c r="G709" s="7" t="str">
        <f>IFERROR(__xludf.DUMMYFUNCTION("""COMPUTED_VALUE"""),"")</f>
        <v/>
      </c>
      <c r="K709" s="7" t="str">
        <f>IFERROR(__xludf.DUMMYFUNCTION("""COMPUTED_VALUE"""),"")</f>
        <v/>
      </c>
      <c r="M709" s="7" t="s">
        <v>110</v>
      </c>
      <c r="O709" s="7" t="str">
        <f>IFERROR(__xludf.DUMMYFUNCTION("""COMPUTED_VALUE"""),"")</f>
        <v/>
      </c>
      <c r="Q709" s="7" t="s">
        <v>110</v>
      </c>
      <c r="R709" s="7" t="str">
        <f>IFERROR(__xludf.DUMMYFUNCTION("""COMPUTED_VALUE"""),"")</f>
        <v/>
      </c>
    </row>
    <row r="710">
      <c r="B710" s="8"/>
      <c r="G710" s="7" t="str">
        <f>IFERROR(__xludf.DUMMYFUNCTION("""COMPUTED_VALUE"""),"")</f>
        <v/>
      </c>
      <c r="K710" s="7" t="str">
        <f>IFERROR(__xludf.DUMMYFUNCTION("""COMPUTED_VALUE"""),"")</f>
        <v/>
      </c>
      <c r="M710" s="7" t="s">
        <v>110</v>
      </c>
      <c r="O710" s="7" t="str">
        <f>IFERROR(__xludf.DUMMYFUNCTION("""COMPUTED_VALUE"""),"")</f>
        <v/>
      </c>
      <c r="Q710" s="7" t="s">
        <v>110</v>
      </c>
      <c r="R710" s="7" t="str">
        <f>IFERROR(__xludf.DUMMYFUNCTION("""COMPUTED_VALUE"""),"")</f>
        <v/>
      </c>
    </row>
    <row r="711">
      <c r="B711" s="8"/>
      <c r="G711" s="7" t="str">
        <f>IFERROR(__xludf.DUMMYFUNCTION("""COMPUTED_VALUE"""),"")</f>
        <v/>
      </c>
      <c r="K711" s="7" t="str">
        <f>IFERROR(__xludf.DUMMYFUNCTION("""COMPUTED_VALUE"""),"")</f>
        <v/>
      </c>
      <c r="M711" s="7" t="s">
        <v>110</v>
      </c>
      <c r="O711" s="7" t="str">
        <f>IFERROR(__xludf.DUMMYFUNCTION("""COMPUTED_VALUE"""),"")</f>
        <v/>
      </c>
      <c r="Q711" s="7" t="s">
        <v>110</v>
      </c>
      <c r="R711" s="7" t="str">
        <f>IFERROR(__xludf.DUMMYFUNCTION("""COMPUTED_VALUE"""),"")</f>
        <v/>
      </c>
    </row>
    <row r="712">
      <c r="B712" s="8"/>
      <c r="G712" s="7" t="str">
        <f>IFERROR(__xludf.DUMMYFUNCTION("""COMPUTED_VALUE"""),"")</f>
        <v/>
      </c>
      <c r="K712" s="7" t="str">
        <f>IFERROR(__xludf.DUMMYFUNCTION("""COMPUTED_VALUE"""),"")</f>
        <v/>
      </c>
      <c r="M712" s="7" t="s">
        <v>110</v>
      </c>
      <c r="O712" s="7" t="str">
        <f>IFERROR(__xludf.DUMMYFUNCTION("""COMPUTED_VALUE"""),"")</f>
        <v/>
      </c>
      <c r="Q712" s="7" t="s">
        <v>110</v>
      </c>
      <c r="R712" s="7" t="str">
        <f>IFERROR(__xludf.DUMMYFUNCTION("""COMPUTED_VALUE"""),"")</f>
        <v/>
      </c>
    </row>
    <row r="713">
      <c r="B713" s="8"/>
      <c r="G713" s="7" t="str">
        <f>IFERROR(__xludf.DUMMYFUNCTION("""COMPUTED_VALUE"""),"")</f>
        <v/>
      </c>
      <c r="K713" s="7" t="str">
        <f>IFERROR(__xludf.DUMMYFUNCTION("""COMPUTED_VALUE"""),"")</f>
        <v/>
      </c>
      <c r="M713" s="7" t="s">
        <v>110</v>
      </c>
      <c r="O713" s="7" t="str">
        <f>IFERROR(__xludf.DUMMYFUNCTION("""COMPUTED_VALUE"""),"")</f>
        <v/>
      </c>
      <c r="Q713" s="7" t="s">
        <v>110</v>
      </c>
      <c r="R713" s="7" t="str">
        <f>IFERROR(__xludf.DUMMYFUNCTION("""COMPUTED_VALUE"""),"")</f>
        <v/>
      </c>
    </row>
    <row r="714">
      <c r="B714" s="8"/>
      <c r="G714" s="7" t="str">
        <f>IFERROR(__xludf.DUMMYFUNCTION("""COMPUTED_VALUE"""),"")</f>
        <v/>
      </c>
      <c r="K714" s="7" t="str">
        <f>IFERROR(__xludf.DUMMYFUNCTION("""COMPUTED_VALUE"""),"")</f>
        <v/>
      </c>
      <c r="M714" s="7" t="s">
        <v>110</v>
      </c>
      <c r="O714" s="7" t="str">
        <f>IFERROR(__xludf.DUMMYFUNCTION("""COMPUTED_VALUE"""),"")</f>
        <v/>
      </c>
      <c r="Q714" s="7" t="s">
        <v>110</v>
      </c>
      <c r="R714" s="7" t="str">
        <f>IFERROR(__xludf.DUMMYFUNCTION("""COMPUTED_VALUE"""),"")</f>
        <v/>
      </c>
    </row>
    <row r="715">
      <c r="B715" s="8"/>
      <c r="G715" s="7" t="str">
        <f>IFERROR(__xludf.DUMMYFUNCTION("""COMPUTED_VALUE"""),"")</f>
        <v/>
      </c>
      <c r="K715" s="7" t="str">
        <f>IFERROR(__xludf.DUMMYFUNCTION("""COMPUTED_VALUE"""),"")</f>
        <v/>
      </c>
      <c r="M715" s="7" t="s">
        <v>110</v>
      </c>
      <c r="O715" s="7" t="str">
        <f>IFERROR(__xludf.DUMMYFUNCTION("""COMPUTED_VALUE"""),"")</f>
        <v/>
      </c>
      <c r="Q715" s="7" t="s">
        <v>110</v>
      </c>
      <c r="R715" s="7" t="str">
        <f>IFERROR(__xludf.DUMMYFUNCTION("""COMPUTED_VALUE"""),"")</f>
        <v/>
      </c>
    </row>
    <row r="716">
      <c r="B716" s="8"/>
      <c r="G716" s="7" t="str">
        <f>IFERROR(__xludf.DUMMYFUNCTION("""COMPUTED_VALUE"""),"")</f>
        <v/>
      </c>
      <c r="K716" s="7" t="str">
        <f>IFERROR(__xludf.DUMMYFUNCTION("""COMPUTED_VALUE"""),"")</f>
        <v/>
      </c>
      <c r="M716" s="7" t="s">
        <v>110</v>
      </c>
      <c r="O716" s="7" t="str">
        <f>IFERROR(__xludf.DUMMYFUNCTION("""COMPUTED_VALUE"""),"")</f>
        <v/>
      </c>
      <c r="Q716" s="7" t="s">
        <v>110</v>
      </c>
      <c r="R716" s="7" t="str">
        <f>IFERROR(__xludf.DUMMYFUNCTION("""COMPUTED_VALUE"""),"")</f>
        <v/>
      </c>
    </row>
    <row r="717">
      <c r="B717" s="8"/>
      <c r="G717" s="7" t="str">
        <f>IFERROR(__xludf.DUMMYFUNCTION("""COMPUTED_VALUE"""),"")</f>
        <v/>
      </c>
      <c r="K717" s="7" t="str">
        <f>IFERROR(__xludf.DUMMYFUNCTION("""COMPUTED_VALUE"""),"")</f>
        <v/>
      </c>
      <c r="M717" s="7" t="s">
        <v>110</v>
      </c>
      <c r="O717" s="7" t="str">
        <f>IFERROR(__xludf.DUMMYFUNCTION("""COMPUTED_VALUE"""),"")</f>
        <v/>
      </c>
      <c r="Q717" s="7" t="s">
        <v>110</v>
      </c>
      <c r="R717" s="7" t="str">
        <f>IFERROR(__xludf.DUMMYFUNCTION("""COMPUTED_VALUE"""),"")</f>
        <v/>
      </c>
    </row>
    <row r="718">
      <c r="B718" s="8"/>
      <c r="G718" s="7" t="str">
        <f>IFERROR(__xludf.DUMMYFUNCTION("""COMPUTED_VALUE"""),"")</f>
        <v/>
      </c>
      <c r="K718" s="7" t="str">
        <f>IFERROR(__xludf.DUMMYFUNCTION("""COMPUTED_VALUE"""),"")</f>
        <v/>
      </c>
      <c r="M718" s="7" t="s">
        <v>110</v>
      </c>
      <c r="O718" s="7" t="str">
        <f>IFERROR(__xludf.DUMMYFUNCTION("""COMPUTED_VALUE"""),"")</f>
        <v/>
      </c>
      <c r="Q718" s="7" t="s">
        <v>110</v>
      </c>
      <c r="R718" s="7" t="str">
        <f>IFERROR(__xludf.DUMMYFUNCTION("""COMPUTED_VALUE"""),"")</f>
        <v/>
      </c>
    </row>
    <row r="719">
      <c r="B719" s="8"/>
      <c r="G719" s="7" t="str">
        <f>IFERROR(__xludf.DUMMYFUNCTION("""COMPUTED_VALUE"""),"")</f>
        <v/>
      </c>
      <c r="K719" s="7" t="str">
        <f>IFERROR(__xludf.DUMMYFUNCTION("""COMPUTED_VALUE"""),"")</f>
        <v/>
      </c>
      <c r="M719" s="7" t="s">
        <v>110</v>
      </c>
      <c r="O719" s="7" t="str">
        <f>IFERROR(__xludf.DUMMYFUNCTION("""COMPUTED_VALUE"""),"")</f>
        <v/>
      </c>
      <c r="Q719" s="7" t="s">
        <v>110</v>
      </c>
      <c r="R719" s="7" t="str">
        <f>IFERROR(__xludf.DUMMYFUNCTION("""COMPUTED_VALUE"""),"")</f>
        <v/>
      </c>
    </row>
    <row r="720">
      <c r="B720" s="8"/>
      <c r="G720" s="7" t="str">
        <f>IFERROR(__xludf.DUMMYFUNCTION("""COMPUTED_VALUE"""),"")</f>
        <v/>
      </c>
      <c r="K720" s="7" t="str">
        <f>IFERROR(__xludf.DUMMYFUNCTION("""COMPUTED_VALUE"""),"")</f>
        <v/>
      </c>
      <c r="M720" s="7" t="s">
        <v>110</v>
      </c>
      <c r="O720" s="7" t="str">
        <f>IFERROR(__xludf.DUMMYFUNCTION("""COMPUTED_VALUE"""),"")</f>
        <v/>
      </c>
      <c r="Q720" s="7" t="s">
        <v>110</v>
      </c>
      <c r="R720" s="7" t="str">
        <f>IFERROR(__xludf.DUMMYFUNCTION("""COMPUTED_VALUE"""),"")</f>
        <v/>
      </c>
    </row>
    <row r="721">
      <c r="B721" s="8"/>
      <c r="G721" s="7" t="str">
        <f>IFERROR(__xludf.DUMMYFUNCTION("""COMPUTED_VALUE"""),"")</f>
        <v/>
      </c>
      <c r="K721" s="7" t="str">
        <f>IFERROR(__xludf.DUMMYFUNCTION("""COMPUTED_VALUE"""),"")</f>
        <v/>
      </c>
      <c r="M721" s="7" t="s">
        <v>110</v>
      </c>
      <c r="O721" s="7" t="str">
        <f>IFERROR(__xludf.DUMMYFUNCTION("""COMPUTED_VALUE"""),"")</f>
        <v/>
      </c>
      <c r="Q721" s="7" t="s">
        <v>110</v>
      </c>
      <c r="R721" s="7" t="str">
        <f>IFERROR(__xludf.DUMMYFUNCTION("""COMPUTED_VALUE"""),"")</f>
        <v/>
      </c>
    </row>
    <row r="722">
      <c r="B722" s="8"/>
      <c r="G722" s="7" t="str">
        <f>IFERROR(__xludf.DUMMYFUNCTION("""COMPUTED_VALUE"""),"")</f>
        <v/>
      </c>
      <c r="K722" s="7" t="str">
        <f>IFERROR(__xludf.DUMMYFUNCTION("""COMPUTED_VALUE"""),"")</f>
        <v/>
      </c>
      <c r="M722" s="7" t="s">
        <v>110</v>
      </c>
      <c r="O722" s="7" t="str">
        <f>IFERROR(__xludf.DUMMYFUNCTION("""COMPUTED_VALUE"""),"")</f>
        <v/>
      </c>
      <c r="Q722" s="7" t="s">
        <v>110</v>
      </c>
      <c r="R722" s="7" t="str">
        <f>IFERROR(__xludf.DUMMYFUNCTION("""COMPUTED_VALUE"""),"")</f>
        <v/>
      </c>
    </row>
    <row r="723">
      <c r="B723" s="8"/>
      <c r="G723" s="7" t="str">
        <f>IFERROR(__xludf.DUMMYFUNCTION("""COMPUTED_VALUE"""),"")</f>
        <v/>
      </c>
      <c r="K723" s="7" t="str">
        <f>IFERROR(__xludf.DUMMYFUNCTION("""COMPUTED_VALUE"""),"")</f>
        <v/>
      </c>
      <c r="M723" s="7" t="s">
        <v>110</v>
      </c>
      <c r="O723" s="7" t="str">
        <f>IFERROR(__xludf.DUMMYFUNCTION("""COMPUTED_VALUE"""),"")</f>
        <v/>
      </c>
      <c r="Q723" s="7" t="s">
        <v>110</v>
      </c>
      <c r="R723" s="7" t="str">
        <f>IFERROR(__xludf.DUMMYFUNCTION("""COMPUTED_VALUE"""),"")</f>
        <v/>
      </c>
    </row>
    <row r="724">
      <c r="B724" s="8"/>
      <c r="G724" s="7" t="str">
        <f>IFERROR(__xludf.DUMMYFUNCTION("""COMPUTED_VALUE"""),"")</f>
        <v/>
      </c>
      <c r="K724" s="7" t="str">
        <f>IFERROR(__xludf.DUMMYFUNCTION("""COMPUTED_VALUE"""),"")</f>
        <v/>
      </c>
      <c r="M724" s="7" t="s">
        <v>110</v>
      </c>
      <c r="O724" s="7" t="str">
        <f>IFERROR(__xludf.DUMMYFUNCTION("""COMPUTED_VALUE"""),"")</f>
        <v/>
      </c>
      <c r="Q724" s="7" t="s">
        <v>110</v>
      </c>
      <c r="R724" s="7" t="str">
        <f>IFERROR(__xludf.DUMMYFUNCTION("""COMPUTED_VALUE"""),"")</f>
        <v/>
      </c>
    </row>
    <row r="725">
      <c r="B725" s="8"/>
      <c r="G725" s="7" t="str">
        <f>IFERROR(__xludf.DUMMYFUNCTION("""COMPUTED_VALUE"""),"")</f>
        <v/>
      </c>
      <c r="K725" s="7" t="str">
        <f>IFERROR(__xludf.DUMMYFUNCTION("""COMPUTED_VALUE"""),"")</f>
        <v/>
      </c>
      <c r="M725" s="7" t="s">
        <v>110</v>
      </c>
      <c r="O725" s="7" t="str">
        <f>IFERROR(__xludf.DUMMYFUNCTION("""COMPUTED_VALUE"""),"")</f>
        <v/>
      </c>
      <c r="Q725" s="7" t="s">
        <v>110</v>
      </c>
      <c r="R725" s="7" t="str">
        <f>IFERROR(__xludf.DUMMYFUNCTION("""COMPUTED_VALUE"""),"")</f>
        <v/>
      </c>
    </row>
    <row r="726">
      <c r="B726" s="8"/>
      <c r="G726" s="7" t="str">
        <f>IFERROR(__xludf.DUMMYFUNCTION("""COMPUTED_VALUE"""),"")</f>
        <v/>
      </c>
      <c r="K726" s="7" t="str">
        <f>IFERROR(__xludf.DUMMYFUNCTION("""COMPUTED_VALUE"""),"")</f>
        <v/>
      </c>
      <c r="M726" s="7" t="s">
        <v>110</v>
      </c>
      <c r="O726" s="7" t="str">
        <f>IFERROR(__xludf.DUMMYFUNCTION("""COMPUTED_VALUE"""),"")</f>
        <v/>
      </c>
      <c r="Q726" s="7" t="s">
        <v>110</v>
      </c>
      <c r="R726" s="7" t="str">
        <f>IFERROR(__xludf.DUMMYFUNCTION("""COMPUTED_VALUE"""),"")</f>
        <v/>
      </c>
    </row>
    <row r="727">
      <c r="B727" s="8"/>
      <c r="G727" s="7" t="str">
        <f>IFERROR(__xludf.DUMMYFUNCTION("""COMPUTED_VALUE"""),"")</f>
        <v/>
      </c>
      <c r="K727" s="7" t="str">
        <f>IFERROR(__xludf.DUMMYFUNCTION("""COMPUTED_VALUE"""),"")</f>
        <v/>
      </c>
      <c r="M727" s="7" t="s">
        <v>110</v>
      </c>
      <c r="O727" s="7" t="str">
        <f>IFERROR(__xludf.DUMMYFUNCTION("""COMPUTED_VALUE"""),"")</f>
        <v/>
      </c>
      <c r="Q727" s="7" t="s">
        <v>110</v>
      </c>
      <c r="R727" s="7" t="str">
        <f>IFERROR(__xludf.DUMMYFUNCTION("""COMPUTED_VALUE"""),"")</f>
        <v/>
      </c>
    </row>
    <row r="728">
      <c r="B728" s="8"/>
      <c r="G728" s="7" t="str">
        <f>IFERROR(__xludf.DUMMYFUNCTION("""COMPUTED_VALUE"""),"")</f>
        <v/>
      </c>
      <c r="K728" s="7" t="str">
        <f>IFERROR(__xludf.DUMMYFUNCTION("""COMPUTED_VALUE"""),"")</f>
        <v/>
      </c>
      <c r="M728" s="7" t="s">
        <v>110</v>
      </c>
      <c r="O728" s="7" t="str">
        <f>IFERROR(__xludf.DUMMYFUNCTION("""COMPUTED_VALUE"""),"")</f>
        <v/>
      </c>
      <c r="Q728" s="7" t="s">
        <v>110</v>
      </c>
      <c r="R728" s="7" t="str">
        <f>IFERROR(__xludf.DUMMYFUNCTION("""COMPUTED_VALUE"""),"")</f>
        <v/>
      </c>
    </row>
    <row r="729">
      <c r="B729" s="8"/>
      <c r="G729" s="7" t="str">
        <f>IFERROR(__xludf.DUMMYFUNCTION("""COMPUTED_VALUE"""),"")</f>
        <v/>
      </c>
      <c r="K729" s="7" t="str">
        <f>IFERROR(__xludf.DUMMYFUNCTION("""COMPUTED_VALUE"""),"")</f>
        <v/>
      </c>
      <c r="M729" s="7" t="s">
        <v>110</v>
      </c>
      <c r="O729" s="7" t="str">
        <f>IFERROR(__xludf.DUMMYFUNCTION("""COMPUTED_VALUE"""),"")</f>
        <v/>
      </c>
      <c r="Q729" s="7" t="s">
        <v>110</v>
      </c>
      <c r="R729" s="7" t="str">
        <f>IFERROR(__xludf.DUMMYFUNCTION("""COMPUTED_VALUE"""),"")</f>
        <v/>
      </c>
    </row>
    <row r="730">
      <c r="B730" s="8"/>
      <c r="G730" s="7" t="str">
        <f>IFERROR(__xludf.DUMMYFUNCTION("""COMPUTED_VALUE"""),"")</f>
        <v/>
      </c>
      <c r="K730" s="7" t="str">
        <f>IFERROR(__xludf.DUMMYFUNCTION("""COMPUTED_VALUE"""),"")</f>
        <v/>
      </c>
      <c r="M730" s="7" t="s">
        <v>110</v>
      </c>
      <c r="O730" s="7" t="str">
        <f>IFERROR(__xludf.DUMMYFUNCTION("""COMPUTED_VALUE"""),"")</f>
        <v/>
      </c>
      <c r="Q730" s="7" t="s">
        <v>110</v>
      </c>
      <c r="R730" s="7" t="str">
        <f>IFERROR(__xludf.DUMMYFUNCTION("""COMPUTED_VALUE"""),"")</f>
        <v/>
      </c>
    </row>
    <row r="731">
      <c r="B731" s="8"/>
      <c r="G731" s="7" t="str">
        <f>IFERROR(__xludf.DUMMYFUNCTION("""COMPUTED_VALUE"""),"")</f>
        <v/>
      </c>
      <c r="K731" s="7" t="str">
        <f>IFERROR(__xludf.DUMMYFUNCTION("""COMPUTED_VALUE"""),"")</f>
        <v/>
      </c>
      <c r="M731" s="7" t="s">
        <v>110</v>
      </c>
      <c r="O731" s="7" t="str">
        <f>IFERROR(__xludf.DUMMYFUNCTION("""COMPUTED_VALUE"""),"")</f>
        <v/>
      </c>
      <c r="Q731" s="7" t="s">
        <v>110</v>
      </c>
      <c r="R731" s="7" t="str">
        <f>IFERROR(__xludf.DUMMYFUNCTION("""COMPUTED_VALUE"""),"")</f>
        <v/>
      </c>
    </row>
    <row r="732">
      <c r="B732" s="8"/>
      <c r="G732" s="7" t="str">
        <f>IFERROR(__xludf.DUMMYFUNCTION("""COMPUTED_VALUE"""),"")</f>
        <v/>
      </c>
      <c r="K732" s="7" t="str">
        <f>IFERROR(__xludf.DUMMYFUNCTION("""COMPUTED_VALUE"""),"")</f>
        <v/>
      </c>
      <c r="M732" s="7" t="s">
        <v>110</v>
      </c>
      <c r="O732" s="7" t="str">
        <f>IFERROR(__xludf.DUMMYFUNCTION("""COMPUTED_VALUE"""),"")</f>
        <v/>
      </c>
      <c r="Q732" s="7" t="s">
        <v>110</v>
      </c>
      <c r="R732" s="7" t="str">
        <f>IFERROR(__xludf.DUMMYFUNCTION("""COMPUTED_VALUE"""),"")</f>
        <v/>
      </c>
    </row>
    <row r="733">
      <c r="B733" s="8"/>
      <c r="G733" s="7" t="str">
        <f>IFERROR(__xludf.DUMMYFUNCTION("""COMPUTED_VALUE"""),"")</f>
        <v/>
      </c>
      <c r="K733" s="7" t="str">
        <f>IFERROR(__xludf.DUMMYFUNCTION("""COMPUTED_VALUE"""),"")</f>
        <v/>
      </c>
      <c r="M733" s="7" t="s">
        <v>110</v>
      </c>
      <c r="O733" s="7" t="str">
        <f>IFERROR(__xludf.DUMMYFUNCTION("""COMPUTED_VALUE"""),"")</f>
        <v/>
      </c>
      <c r="Q733" s="7" t="s">
        <v>110</v>
      </c>
      <c r="R733" s="7" t="str">
        <f>IFERROR(__xludf.DUMMYFUNCTION("""COMPUTED_VALUE"""),"")</f>
        <v/>
      </c>
    </row>
    <row r="734">
      <c r="B734" s="8"/>
      <c r="G734" s="7" t="str">
        <f>IFERROR(__xludf.DUMMYFUNCTION("""COMPUTED_VALUE"""),"")</f>
        <v/>
      </c>
      <c r="K734" s="7" t="str">
        <f>IFERROR(__xludf.DUMMYFUNCTION("""COMPUTED_VALUE"""),"")</f>
        <v/>
      </c>
      <c r="M734" s="7" t="s">
        <v>110</v>
      </c>
      <c r="O734" s="7" t="str">
        <f>IFERROR(__xludf.DUMMYFUNCTION("""COMPUTED_VALUE"""),"")</f>
        <v/>
      </c>
      <c r="Q734" s="7" t="s">
        <v>110</v>
      </c>
      <c r="R734" s="7" t="str">
        <f>IFERROR(__xludf.DUMMYFUNCTION("""COMPUTED_VALUE"""),"")</f>
        <v/>
      </c>
    </row>
    <row r="735">
      <c r="B735" s="8"/>
      <c r="G735" s="7" t="str">
        <f>IFERROR(__xludf.DUMMYFUNCTION("""COMPUTED_VALUE"""),"")</f>
        <v/>
      </c>
      <c r="K735" s="7" t="str">
        <f>IFERROR(__xludf.DUMMYFUNCTION("""COMPUTED_VALUE"""),"")</f>
        <v/>
      </c>
      <c r="M735" s="7" t="s">
        <v>110</v>
      </c>
      <c r="O735" s="7" t="str">
        <f>IFERROR(__xludf.DUMMYFUNCTION("""COMPUTED_VALUE"""),"")</f>
        <v/>
      </c>
      <c r="Q735" s="7" t="s">
        <v>110</v>
      </c>
      <c r="R735" s="7" t="str">
        <f>IFERROR(__xludf.DUMMYFUNCTION("""COMPUTED_VALUE"""),"")</f>
        <v/>
      </c>
    </row>
    <row r="736">
      <c r="B736" s="8"/>
      <c r="G736" s="7" t="str">
        <f>IFERROR(__xludf.DUMMYFUNCTION("""COMPUTED_VALUE"""),"")</f>
        <v/>
      </c>
      <c r="K736" s="7" t="str">
        <f>IFERROR(__xludf.DUMMYFUNCTION("""COMPUTED_VALUE"""),"")</f>
        <v/>
      </c>
      <c r="M736" s="7" t="s">
        <v>110</v>
      </c>
      <c r="O736" s="7" t="str">
        <f>IFERROR(__xludf.DUMMYFUNCTION("""COMPUTED_VALUE"""),"")</f>
        <v/>
      </c>
      <c r="Q736" s="7" t="s">
        <v>110</v>
      </c>
      <c r="R736" s="7" t="str">
        <f>IFERROR(__xludf.DUMMYFUNCTION("""COMPUTED_VALUE"""),"")</f>
        <v/>
      </c>
    </row>
    <row r="737">
      <c r="B737" s="8"/>
      <c r="G737" s="7" t="str">
        <f>IFERROR(__xludf.DUMMYFUNCTION("""COMPUTED_VALUE"""),"")</f>
        <v/>
      </c>
      <c r="K737" s="7" t="str">
        <f>IFERROR(__xludf.DUMMYFUNCTION("""COMPUTED_VALUE"""),"")</f>
        <v/>
      </c>
      <c r="M737" s="7" t="s">
        <v>110</v>
      </c>
      <c r="O737" s="7" t="str">
        <f>IFERROR(__xludf.DUMMYFUNCTION("""COMPUTED_VALUE"""),"")</f>
        <v/>
      </c>
      <c r="Q737" s="7" t="s">
        <v>110</v>
      </c>
      <c r="R737" s="7" t="str">
        <f>IFERROR(__xludf.DUMMYFUNCTION("""COMPUTED_VALUE"""),"")</f>
        <v/>
      </c>
    </row>
    <row r="738">
      <c r="B738" s="8"/>
      <c r="G738" s="7" t="str">
        <f>IFERROR(__xludf.DUMMYFUNCTION("""COMPUTED_VALUE"""),"")</f>
        <v/>
      </c>
      <c r="K738" s="7" t="str">
        <f>IFERROR(__xludf.DUMMYFUNCTION("""COMPUTED_VALUE"""),"")</f>
        <v/>
      </c>
      <c r="M738" s="7" t="s">
        <v>110</v>
      </c>
      <c r="O738" s="7" t="str">
        <f>IFERROR(__xludf.DUMMYFUNCTION("""COMPUTED_VALUE"""),"")</f>
        <v/>
      </c>
      <c r="Q738" s="7" t="s">
        <v>110</v>
      </c>
      <c r="R738" s="7" t="str">
        <f>IFERROR(__xludf.DUMMYFUNCTION("""COMPUTED_VALUE"""),"")</f>
        <v/>
      </c>
    </row>
    <row r="739">
      <c r="B739" s="8"/>
      <c r="G739" s="7" t="str">
        <f>IFERROR(__xludf.DUMMYFUNCTION("""COMPUTED_VALUE"""),"")</f>
        <v/>
      </c>
      <c r="K739" s="7" t="str">
        <f>IFERROR(__xludf.DUMMYFUNCTION("""COMPUTED_VALUE"""),"")</f>
        <v/>
      </c>
      <c r="M739" s="7" t="s">
        <v>110</v>
      </c>
      <c r="O739" s="7" t="str">
        <f>IFERROR(__xludf.DUMMYFUNCTION("""COMPUTED_VALUE"""),"")</f>
        <v/>
      </c>
      <c r="Q739" s="7" t="s">
        <v>110</v>
      </c>
      <c r="R739" s="7" t="str">
        <f>IFERROR(__xludf.DUMMYFUNCTION("""COMPUTED_VALUE"""),"")</f>
        <v/>
      </c>
    </row>
    <row r="740">
      <c r="B740" s="8"/>
      <c r="G740" s="7" t="str">
        <f>IFERROR(__xludf.DUMMYFUNCTION("""COMPUTED_VALUE"""),"")</f>
        <v/>
      </c>
      <c r="K740" s="7" t="str">
        <f>IFERROR(__xludf.DUMMYFUNCTION("""COMPUTED_VALUE"""),"")</f>
        <v/>
      </c>
      <c r="M740" s="7" t="s">
        <v>110</v>
      </c>
      <c r="O740" s="7" t="str">
        <f>IFERROR(__xludf.DUMMYFUNCTION("""COMPUTED_VALUE"""),"")</f>
        <v/>
      </c>
      <c r="Q740" s="7" t="s">
        <v>110</v>
      </c>
      <c r="R740" s="7" t="str">
        <f>IFERROR(__xludf.DUMMYFUNCTION("""COMPUTED_VALUE"""),"")</f>
        <v/>
      </c>
    </row>
    <row r="741">
      <c r="B741" s="8"/>
      <c r="G741" s="7" t="str">
        <f>IFERROR(__xludf.DUMMYFUNCTION("""COMPUTED_VALUE"""),"")</f>
        <v/>
      </c>
      <c r="K741" s="7" t="str">
        <f>IFERROR(__xludf.DUMMYFUNCTION("""COMPUTED_VALUE"""),"")</f>
        <v/>
      </c>
      <c r="M741" s="7" t="s">
        <v>110</v>
      </c>
      <c r="O741" s="7" t="str">
        <f>IFERROR(__xludf.DUMMYFUNCTION("""COMPUTED_VALUE"""),"")</f>
        <v/>
      </c>
      <c r="Q741" s="7" t="s">
        <v>110</v>
      </c>
      <c r="R741" s="7" t="str">
        <f>IFERROR(__xludf.DUMMYFUNCTION("""COMPUTED_VALUE"""),"")</f>
        <v/>
      </c>
    </row>
    <row r="742">
      <c r="B742" s="8"/>
      <c r="G742" s="7" t="str">
        <f>IFERROR(__xludf.DUMMYFUNCTION("""COMPUTED_VALUE"""),"")</f>
        <v/>
      </c>
      <c r="K742" s="7" t="str">
        <f>IFERROR(__xludf.DUMMYFUNCTION("""COMPUTED_VALUE"""),"")</f>
        <v/>
      </c>
      <c r="M742" s="7" t="s">
        <v>110</v>
      </c>
      <c r="O742" s="7" t="str">
        <f>IFERROR(__xludf.DUMMYFUNCTION("""COMPUTED_VALUE"""),"")</f>
        <v/>
      </c>
      <c r="Q742" s="7" t="s">
        <v>110</v>
      </c>
      <c r="R742" s="7" t="str">
        <f>IFERROR(__xludf.DUMMYFUNCTION("""COMPUTED_VALUE"""),"")</f>
        <v/>
      </c>
    </row>
    <row r="743">
      <c r="B743" s="8"/>
      <c r="G743" s="7" t="str">
        <f>IFERROR(__xludf.DUMMYFUNCTION("""COMPUTED_VALUE"""),"")</f>
        <v/>
      </c>
      <c r="K743" s="7" t="str">
        <f>IFERROR(__xludf.DUMMYFUNCTION("""COMPUTED_VALUE"""),"")</f>
        <v/>
      </c>
      <c r="M743" s="7" t="s">
        <v>110</v>
      </c>
      <c r="O743" s="7" t="str">
        <f>IFERROR(__xludf.DUMMYFUNCTION("""COMPUTED_VALUE"""),"")</f>
        <v/>
      </c>
      <c r="Q743" s="7" t="s">
        <v>110</v>
      </c>
      <c r="R743" s="7" t="str">
        <f>IFERROR(__xludf.DUMMYFUNCTION("""COMPUTED_VALUE"""),"")</f>
        <v/>
      </c>
    </row>
    <row r="744">
      <c r="B744" s="8"/>
      <c r="G744" s="7" t="str">
        <f>IFERROR(__xludf.DUMMYFUNCTION("""COMPUTED_VALUE"""),"")</f>
        <v/>
      </c>
      <c r="K744" s="7" t="str">
        <f>IFERROR(__xludf.DUMMYFUNCTION("""COMPUTED_VALUE"""),"")</f>
        <v/>
      </c>
      <c r="M744" s="7" t="s">
        <v>110</v>
      </c>
      <c r="O744" s="7" t="str">
        <f>IFERROR(__xludf.DUMMYFUNCTION("""COMPUTED_VALUE"""),"")</f>
        <v/>
      </c>
      <c r="Q744" s="7" t="s">
        <v>110</v>
      </c>
      <c r="R744" s="7" t="str">
        <f>IFERROR(__xludf.DUMMYFUNCTION("""COMPUTED_VALUE"""),"")</f>
        <v/>
      </c>
    </row>
    <row r="745">
      <c r="B745" s="8"/>
      <c r="G745" s="7" t="str">
        <f>IFERROR(__xludf.DUMMYFUNCTION("""COMPUTED_VALUE"""),"")</f>
        <v/>
      </c>
      <c r="K745" s="7" t="str">
        <f>IFERROR(__xludf.DUMMYFUNCTION("""COMPUTED_VALUE"""),"")</f>
        <v/>
      </c>
      <c r="M745" s="7" t="s">
        <v>110</v>
      </c>
      <c r="O745" s="7" t="str">
        <f>IFERROR(__xludf.DUMMYFUNCTION("""COMPUTED_VALUE"""),"")</f>
        <v/>
      </c>
      <c r="Q745" s="7" t="s">
        <v>110</v>
      </c>
      <c r="R745" s="7" t="str">
        <f>IFERROR(__xludf.DUMMYFUNCTION("""COMPUTED_VALUE"""),"")</f>
        <v/>
      </c>
    </row>
    <row r="746">
      <c r="B746" s="8"/>
      <c r="G746" s="7" t="str">
        <f>IFERROR(__xludf.DUMMYFUNCTION("""COMPUTED_VALUE"""),"")</f>
        <v/>
      </c>
      <c r="K746" s="7" t="str">
        <f>IFERROR(__xludf.DUMMYFUNCTION("""COMPUTED_VALUE"""),"")</f>
        <v/>
      </c>
      <c r="M746" s="7" t="s">
        <v>110</v>
      </c>
      <c r="O746" s="7" t="str">
        <f>IFERROR(__xludf.DUMMYFUNCTION("""COMPUTED_VALUE"""),"")</f>
        <v/>
      </c>
      <c r="Q746" s="7" t="s">
        <v>110</v>
      </c>
      <c r="R746" s="7" t="str">
        <f>IFERROR(__xludf.DUMMYFUNCTION("""COMPUTED_VALUE"""),"")</f>
        <v/>
      </c>
    </row>
    <row r="747">
      <c r="B747" s="8"/>
      <c r="G747" s="7" t="str">
        <f>IFERROR(__xludf.DUMMYFUNCTION("""COMPUTED_VALUE"""),"")</f>
        <v/>
      </c>
      <c r="K747" s="7" t="str">
        <f>IFERROR(__xludf.DUMMYFUNCTION("""COMPUTED_VALUE"""),"")</f>
        <v/>
      </c>
      <c r="M747" s="7" t="s">
        <v>110</v>
      </c>
      <c r="O747" s="7" t="str">
        <f>IFERROR(__xludf.DUMMYFUNCTION("""COMPUTED_VALUE"""),"")</f>
        <v/>
      </c>
      <c r="Q747" s="7" t="s">
        <v>110</v>
      </c>
      <c r="R747" s="7" t="str">
        <f>IFERROR(__xludf.DUMMYFUNCTION("""COMPUTED_VALUE"""),"")</f>
        <v/>
      </c>
    </row>
    <row r="748">
      <c r="B748" s="8"/>
      <c r="G748" s="7" t="str">
        <f>IFERROR(__xludf.DUMMYFUNCTION("""COMPUTED_VALUE"""),"")</f>
        <v/>
      </c>
      <c r="K748" s="7" t="str">
        <f>IFERROR(__xludf.DUMMYFUNCTION("""COMPUTED_VALUE"""),"")</f>
        <v/>
      </c>
      <c r="M748" s="7" t="s">
        <v>110</v>
      </c>
      <c r="O748" s="7" t="str">
        <f>IFERROR(__xludf.DUMMYFUNCTION("""COMPUTED_VALUE"""),"")</f>
        <v/>
      </c>
      <c r="Q748" s="7" t="s">
        <v>110</v>
      </c>
      <c r="R748" s="7" t="str">
        <f>IFERROR(__xludf.DUMMYFUNCTION("""COMPUTED_VALUE"""),"")</f>
        <v/>
      </c>
    </row>
    <row r="749">
      <c r="B749" s="8"/>
      <c r="G749" s="7" t="str">
        <f>IFERROR(__xludf.DUMMYFUNCTION("""COMPUTED_VALUE"""),"")</f>
        <v/>
      </c>
      <c r="K749" s="7" t="str">
        <f>IFERROR(__xludf.DUMMYFUNCTION("""COMPUTED_VALUE"""),"")</f>
        <v/>
      </c>
      <c r="M749" s="7" t="s">
        <v>110</v>
      </c>
      <c r="O749" s="7" t="str">
        <f>IFERROR(__xludf.DUMMYFUNCTION("""COMPUTED_VALUE"""),"")</f>
        <v/>
      </c>
      <c r="Q749" s="7" t="s">
        <v>110</v>
      </c>
      <c r="R749" s="7" t="str">
        <f>IFERROR(__xludf.DUMMYFUNCTION("""COMPUTED_VALUE"""),"")</f>
        <v/>
      </c>
    </row>
    <row r="750">
      <c r="B750" s="8"/>
      <c r="G750" s="7" t="str">
        <f>IFERROR(__xludf.DUMMYFUNCTION("""COMPUTED_VALUE"""),"")</f>
        <v/>
      </c>
      <c r="K750" s="7" t="str">
        <f>IFERROR(__xludf.DUMMYFUNCTION("""COMPUTED_VALUE"""),"")</f>
        <v/>
      </c>
      <c r="M750" s="7" t="s">
        <v>110</v>
      </c>
      <c r="O750" s="7" t="str">
        <f>IFERROR(__xludf.DUMMYFUNCTION("""COMPUTED_VALUE"""),"")</f>
        <v/>
      </c>
      <c r="Q750" s="7" t="s">
        <v>110</v>
      </c>
      <c r="R750" s="7" t="str">
        <f>IFERROR(__xludf.DUMMYFUNCTION("""COMPUTED_VALUE"""),"")</f>
        <v/>
      </c>
    </row>
    <row r="751">
      <c r="B751" s="8"/>
      <c r="G751" s="7" t="str">
        <f>IFERROR(__xludf.DUMMYFUNCTION("""COMPUTED_VALUE"""),"")</f>
        <v/>
      </c>
      <c r="K751" s="7" t="str">
        <f>IFERROR(__xludf.DUMMYFUNCTION("""COMPUTED_VALUE"""),"")</f>
        <v/>
      </c>
      <c r="M751" s="7" t="s">
        <v>110</v>
      </c>
      <c r="O751" s="7" t="str">
        <f>IFERROR(__xludf.DUMMYFUNCTION("""COMPUTED_VALUE"""),"")</f>
        <v/>
      </c>
      <c r="Q751" s="7" t="s">
        <v>110</v>
      </c>
      <c r="R751" s="7" t="str">
        <f>IFERROR(__xludf.DUMMYFUNCTION("""COMPUTED_VALUE"""),"")</f>
        <v/>
      </c>
    </row>
    <row r="752">
      <c r="B752" s="8"/>
      <c r="G752" s="7" t="str">
        <f>IFERROR(__xludf.DUMMYFUNCTION("""COMPUTED_VALUE"""),"")</f>
        <v/>
      </c>
      <c r="K752" s="7" t="str">
        <f>IFERROR(__xludf.DUMMYFUNCTION("""COMPUTED_VALUE"""),"")</f>
        <v/>
      </c>
      <c r="M752" s="7" t="s">
        <v>110</v>
      </c>
      <c r="O752" s="7" t="str">
        <f>IFERROR(__xludf.DUMMYFUNCTION("""COMPUTED_VALUE"""),"")</f>
        <v/>
      </c>
      <c r="Q752" s="7" t="s">
        <v>110</v>
      </c>
      <c r="R752" s="7" t="str">
        <f>IFERROR(__xludf.DUMMYFUNCTION("""COMPUTED_VALUE"""),"")</f>
        <v/>
      </c>
    </row>
    <row r="753">
      <c r="B753" s="8"/>
      <c r="G753" s="7" t="str">
        <f>IFERROR(__xludf.DUMMYFUNCTION("""COMPUTED_VALUE"""),"")</f>
        <v/>
      </c>
      <c r="K753" s="7" t="str">
        <f>IFERROR(__xludf.DUMMYFUNCTION("""COMPUTED_VALUE"""),"")</f>
        <v/>
      </c>
      <c r="M753" s="7" t="s">
        <v>110</v>
      </c>
      <c r="O753" s="7" t="str">
        <f>IFERROR(__xludf.DUMMYFUNCTION("""COMPUTED_VALUE"""),"")</f>
        <v/>
      </c>
      <c r="Q753" s="7" t="s">
        <v>110</v>
      </c>
      <c r="R753" s="7" t="str">
        <f>IFERROR(__xludf.DUMMYFUNCTION("""COMPUTED_VALUE"""),"")</f>
        <v/>
      </c>
    </row>
    <row r="754">
      <c r="B754" s="8"/>
      <c r="G754" s="7" t="str">
        <f>IFERROR(__xludf.DUMMYFUNCTION("""COMPUTED_VALUE"""),"")</f>
        <v/>
      </c>
      <c r="K754" s="7" t="str">
        <f>IFERROR(__xludf.DUMMYFUNCTION("""COMPUTED_VALUE"""),"")</f>
        <v/>
      </c>
      <c r="M754" s="7" t="s">
        <v>110</v>
      </c>
      <c r="O754" s="7" t="str">
        <f>IFERROR(__xludf.DUMMYFUNCTION("""COMPUTED_VALUE"""),"")</f>
        <v/>
      </c>
      <c r="Q754" s="7" t="s">
        <v>110</v>
      </c>
      <c r="R754" s="7" t="str">
        <f>IFERROR(__xludf.DUMMYFUNCTION("""COMPUTED_VALUE"""),"")</f>
        <v/>
      </c>
    </row>
    <row r="755">
      <c r="B755" s="8"/>
      <c r="G755" s="7" t="str">
        <f>IFERROR(__xludf.DUMMYFUNCTION("""COMPUTED_VALUE"""),"")</f>
        <v/>
      </c>
      <c r="K755" s="7" t="str">
        <f>IFERROR(__xludf.DUMMYFUNCTION("""COMPUTED_VALUE"""),"")</f>
        <v/>
      </c>
      <c r="M755" s="7" t="s">
        <v>110</v>
      </c>
      <c r="O755" s="7" t="str">
        <f>IFERROR(__xludf.DUMMYFUNCTION("""COMPUTED_VALUE"""),"")</f>
        <v/>
      </c>
      <c r="Q755" s="7" t="s">
        <v>110</v>
      </c>
      <c r="R755" s="7" t="str">
        <f>IFERROR(__xludf.DUMMYFUNCTION("""COMPUTED_VALUE"""),"")</f>
        <v/>
      </c>
    </row>
    <row r="756">
      <c r="B756" s="8"/>
      <c r="G756" s="7" t="str">
        <f>IFERROR(__xludf.DUMMYFUNCTION("""COMPUTED_VALUE"""),"")</f>
        <v/>
      </c>
      <c r="K756" s="7" t="str">
        <f>IFERROR(__xludf.DUMMYFUNCTION("""COMPUTED_VALUE"""),"")</f>
        <v/>
      </c>
      <c r="M756" s="7" t="s">
        <v>110</v>
      </c>
      <c r="O756" s="7" t="str">
        <f>IFERROR(__xludf.DUMMYFUNCTION("""COMPUTED_VALUE"""),"")</f>
        <v/>
      </c>
      <c r="Q756" s="7" t="s">
        <v>110</v>
      </c>
      <c r="R756" s="7" t="str">
        <f>IFERROR(__xludf.DUMMYFUNCTION("""COMPUTED_VALUE"""),"")</f>
        <v/>
      </c>
    </row>
    <row r="757">
      <c r="B757" s="8"/>
      <c r="G757" s="7" t="str">
        <f>IFERROR(__xludf.DUMMYFUNCTION("""COMPUTED_VALUE"""),"")</f>
        <v/>
      </c>
      <c r="K757" s="7" t="str">
        <f>IFERROR(__xludf.DUMMYFUNCTION("""COMPUTED_VALUE"""),"")</f>
        <v/>
      </c>
      <c r="M757" s="7" t="s">
        <v>110</v>
      </c>
      <c r="O757" s="7" t="str">
        <f>IFERROR(__xludf.DUMMYFUNCTION("""COMPUTED_VALUE"""),"")</f>
        <v/>
      </c>
      <c r="Q757" s="7" t="s">
        <v>110</v>
      </c>
      <c r="R757" s="7" t="str">
        <f>IFERROR(__xludf.DUMMYFUNCTION("""COMPUTED_VALUE"""),"")</f>
        <v/>
      </c>
    </row>
    <row r="758">
      <c r="B758" s="8"/>
      <c r="G758" s="7" t="str">
        <f>IFERROR(__xludf.DUMMYFUNCTION("""COMPUTED_VALUE"""),"")</f>
        <v/>
      </c>
      <c r="K758" s="7" t="str">
        <f>IFERROR(__xludf.DUMMYFUNCTION("""COMPUTED_VALUE"""),"")</f>
        <v/>
      </c>
      <c r="M758" s="7" t="s">
        <v>110</v>
      </c>
      <c r="O758" s="7" t="str">
        <f>IFERROR(__xludf.DUMMYFUNCTION("""COMPUTED_VALUE"""),"")</f>
        <v/>
      </c>
      <c r="Q758" s="7" t="s">
        <v>110</v>
      </c>
      <c r="R758" s="7" t="str">
        <f>IFERROR(__xludf.DUMMYFUNCTION("""COMPUTED_VALUE"""),"")</f>
        <v/>
      </c>
    </row>
    <row r="759">
      <c r="B759" s="8"/>
      <c r="G759" s="7" t="str">
        <f>IFERROR(__xludf.DUMMYFUNCTION("""COMPUTED_VALUE"""),"")</f>
        <v/>
      </c>
      <c r="K759" s="7" t="str">
        <f>IFERROR(__xludf.DUMMYFUNCTION("""COMPUTED_VALUE"""),"")</f>
        <v/>
      </c>
      <c r="M759" s="7" t="s">
        <v>110</v>
      </c>
      <c r="O759" s="7" t="str">
        <f>IFERROR(__xludf.DUMMYFUNCTION("""COMPUTED_VALUE"""),"")</f>
        <v/>
      </c>
      <c r="Q759" s="7" t="s">
        <v>110</v>
      </c>
      <c r="R759" s="7" t="str">
        <f>IFERROR(__xludf.DUMMYFUNCTION("""COMPUTED_VALUE"""),"")</f>
        <v/>
      </c>
    </row>
    <row r="760">
      <c r="B760" s="8"/>
      <c r="G760" s="7" t="str">
        <f>IFERROR(__xludf.DUMMYFUNCTION("""COMPUTED_VALUE"""),"")</f>
        <v/>
      </c>
      <c r="K760" s="7" t="str">
        <f>IFERROR(__xludf.DUMMYFUNCTION("""COMPUTED_VALUE"""),"")</f>
        <v/>
      </c>
      <c r="M760" s="7" t="s">
        <v>110</v>
      </c>
      <c r="O760" s="7" t="str">
        <f>IFERROR(__xludf.DUMMYFUNCTION("""COMPUTED_VALUE"""),"")</f>
        <v/>
      </c>
      <c r="Q760" s="7" t="s">
        <v>110</v>
      </c>
      <c r="R760" s="7" t="str">
        <f>IFERROR(__xludf.DUMMYFUNCTION("""COMPUTED_VALUE"""),"")</f>
        <v/>
      </c>
    </row>
    <row r="761">
      <c r="B761" s="8"/>
      <c r="G761" s="7" t="str">
        <f>IFERROR(__xludf.DUMMYFUNCTION("""COMPUTED_VALUE"""),"")</f>
        <v/>
      </c>
      <c r="K761" s="7" t="str">
        <f>IFERROR(__xludf.DUMMYFUNCTION("""COMPUTED_VALUE"""),"")</f>
        <v/>
      </c>
      <c r="M761" s="7" t="s">
        <v>110</v>
      </c>
      <c r="O761" s="7" t="str">
        <f>IFERROR(__xludf.DUMMYFUNCTION("""COMPUTED_VALUE"""),"")</f>
        <v/>
      </c>
      <c r="Q761" s="7" t="s">
        <v>110</v>
      </c>
      <c r="R761" s="7" t="str">
        <f>IFERROR(__xludf.DUMMYFUNCTION("""COMPUTED_VALUE"""),"")</f>
        <v/>
      </c>
    </row>
    <row r="762">
      <c r="B762" s="8"/>
      <c r="G762" s="7" t="str">
        <f>IFERROR(__xludf.DUMMYFUNCTION("""COMPUTED_VALUE"""),"")</f>
        <v/>
      </c>
      <c r="K762" s="7" t="str">
        <f>IFERROR(__xludf.DUMMYFUNCTION("""COMPUTED_VALUE"""),"")</f>
        <v/>
      </c>
      <c r="M762" s="7" t="s">
        <v>110</v>
      </c>
      <c r="O762" s="7" t="str">
        <f>IFERROR(__xludf.DUMMYFUNCTION("""COMPUTED_VALUE"""),"")</f>
        <v/>
      </c>
      <c r="Q762" s="7" t="s">
        <v>110</v>
      </c>
      <c r="R762" s="7" t="str">
        <f>IFERROR(__xludf.DUMMYFUNCTION("""COMPUTED_VALUE"""),"")</f>
        <v/>
      </c>
    </row>
    <row r="763">
      <c r="B763" s="8"/>
      <c r="G763" s="7" t="str">
        <f>IFERROR(__xludf.DUMMYFUNCTION("""COMPUTED_VALUE"""),"")</f>
        <v/>
      </c>
      <c r="K763" s="7" t="str">
        <f>IFERROR(__xludf.DUMMYFUNCTION("""COMPUTED_VALUE"""),"")</f>
        <v/>
      </c>
      <c r="M763" s="7" t="s">
        <v>110</v>
      </c>
      <c r="O763" s="7" t="str">
        <f>IFERROR(__xludf.DUMMYFUNCTION("""COMPUTED_VALUE"""),"")</f>
        <v/>
      </c>
      <c r="Q763" s="7" t="s">
        <v>110</v>
      </c>
      <c r="R763" s="7" t="str">
        <f>IFERROR(__xludf.DUMMYFUNCTION("""COMPUTED_VALUE"""),"")</f>
        <v/>
      </c>
    </row>
    <row r="764">
      <c r="B764" s="8"/>
      <c r="G764" s="7" t="str">
        <f>IFERROR(__xludf.DUMMYFUNCTION("""COMPUTED_VALUE"""),"")</f>
        <v/>
      </c>
      <c r="K764" s="7" t="str">
        <f>IFERROR(__xludf.DUMMYFUNCTION("""COMPUTED_VALUE"""),"")</f>
        <v/>
      </c>
      <c r="M764" s="7" t="s">
        <v>110</v>
      </c>
      <c r="O764" s="7" t="str">
        <f>IFERROR(__xludf.DUMMYFUNCTION("""COMPUTED_VALUE"""),"")</f>
        <v/>
      </c>
      <c r="Q764" s="7" t="s">
        <v>110</v>
      </c>
      <c r="R764" s="7" t="str">
        <f>IFERROR(__xludf.DUMMYFUNCTION("""COMPUTED_VALUE"""),"")</f>
        <v/>
      </c>
    </row>
    <row r="765">
      <c r="B765" s="8"/>
      <c r="G765" s="7" t="str">
        <f>IFERROR(__xludf.DUMMYFUNCTION("""COMPUTED_VALUE"""),"")</f>
        <v/>
      </c>
      <c r="K765" s="7" t="str">
        <f>IFERROR(__xludf.DUMMYFUNCTION("""COMPUTED_VALUE"""),"")</f>
        <v/>
      </c>
      <c r="M765" s="7" t="s">
        <v>110</v>
      </c>
      <c r="O765" s="7" t="str">
        <f>IFERROR(__xludf.DUMMYFUNCTION("""COMPUTED_VALUE"""),"")</f>
        <v/>
      </c>
      <c r="Q765" s="7" t="s">
        <v>110</v>
      </c>
      <c r="R765" s="7" t="str">
        <f>IFERROR(__xludf.DUMMYFUNCTION("""COMPUTED_VALUE"""),"")</f>
        <v/>
      </c>
    </row>
    <row r="766">
      <c r="B766" s="8"/>
      <c r="G766" s="7" t="str">
        <f>IFERROR(__xludf.DUMMYFUNCTION("""COMPUTED_VALUE"""),"")</f>
        <v/>
      </c>
      <c r="K766" s="7" t="str">
        <f>IFERROR(__xludf.DUMMYFUNCTION("""COMPUTED_VALUE"""),"")</f>
        <v/>
      </c>
      <c r="M766" s="7" t="s">
        <v>110</v>
      </c>
      <c r="O766" s="7" t="str">
        <f>IFERROR(__xludf.DUMMYFUNCTION("""COMPUTED_VALUE"""),"")</f>
        <v/>
      </c>
      <c r="Q766" s="7" t="s">
        <v>110</v>
      </c>
      <c r="R766" s="7" t="str">
        <f>IFERROR(__xludf.DUMMYFUNCTION("""COMPUTED_VALUE"""),"")</f>
        <v/>
      </c>
    </row>
    <row r="767">
      <c r="B767" s="8"/>
      <c r="G767" s="7" t="str">
        <f>IFERROR(__xludf.DUMMYFUNCTION("""COMPUTED_VALUE"""),"")</f>
        <v/>
      </c>
      <c r="K767" s="7" t="str">
        <f>IFERROR(__xludf.DUMMYFUNCTION("""COMPUTED_VALUE"""),"")</f>
        <v/>
      </c>
      <c r="M767" s="7" t="s">
        <v>110</v>
      </c>
      <c r="O767" s="7" t="str">
        <f>IFERROR(__xludf.DUMMYFUNCTION("""COMPUTED_VALUE"""),"")</f>
        <v/>
      </c>
      <c r="Q767" s="7" t="s">
        <v>110</v>
      </c>
      <c r="R767" s="7" t="str">
        <f>IFERROR(__xludf.DUMMYFUNCTION("""COMPUTED_VALUE"""),"")</f>
        <v/>
      </c>
    </row>
    <row r="768">
      <c r="B768" s="8"/>
      <c r="G768" s="7" t="str">
        <f>IFERROR(__xludf.DUMMYFUNCTION("""COMPUTED_VALUE"""),"")</f>
        <v/>
      </c>
      <c r="K768" s="7" t="str">
        <f>IFERROR(__xludf.DUMMYFUNCTION("""COMPUTED_VALUE"""),"")</f>
        <v/>
      </c>
      <c r="M768" s="7" t="s">
        <v>110</v>
      </c>
      <c r="O768" s="7" t="str">
        <f>IFERROR(__xludf.DUMMYFUNCTION("""COMPUTED_VALUE"""),"")</f>
        <v/>
      </c>
      <c r="Q768" s="7" t="s">
        <v>110</v>
      </c>
      <c r="R768" s="7" t="str">
        <f>IFERROR(__xludf.DUMMYFUNCTION("""COMPUTED_VALUE"""),"")</f>
        <v/>
      </c>
    </row>
    <row r="769">
      <c r="B769" s="8"/>
      <c r="G769" s="7" t="str">
        <f>IFERROR(__xludf.DUMMYFUNCTION("""COMPUTED_VALUE"""),"")</f>
        <v/>
      </c>
      <c r="K769" s="7" t="str">
        <f>IFERROR(__xludf.DUMMYFUNCTION("""COMPUTED_VALUE"""),"")</f>
        <v/>
      </c>
      <c r="M769" s="7" t="s">
        <v>110</v>
      </c>
      <c r="O769" s="7" t="str">
        <f>IFERROR(__xludf.DUMMYFUNCTION("""COMPUTED_VALUE"""),"")</f>
        <v/>
      </c>
      <c r="Q769" s="7" t="s">
        <v>110</v>
      </c>
      <c r="R769" s="7" t="str">
        <f>IFERROR(__xludf.DUMMYFUNCTION("""COMPUTED_VALUE"""),"")</f>
        <v/>
      </c>
    </row>
    <row r="770">
      <c r="B770" s="8"/>
      <c r="G770" s="7" t="str">
        <f>IFERROR(__xludf.DUMMYFUNCTION("""COMPUTED_VALUE"""),"")</f>
        <v/>
      </c>
      <c r="K770" s="7" t="str">
        <f>IFERROR(__xludf.DUMMYFUNCTION("""COMPUTED_VALUE"""),"")</f>
        <v/>
      </c>
      <c r="M770" s="7" t="s">
        <v>110</v>
      </c>
      <c r="O770" s="7" t="str">
        <f>IFERROR(__xludf.DUMMYFUNCTION("""COMPUTED_VALUE"""),"")</f>
        <v/>
      </c>
      <c r="Q770" s="7" t="s">
        <v>110</v>
      </c>
      <c r="R770" s="7" t="str">
        <f>IFERROR(__xludf.DUMMYFUNCTION("""COMPUTED_VALUE"""),"")</f>
        <v/>
      </c>
    </row>
    <row r="771">
      <c r="B771" s="8"/>
      <c r="G771" s="7" t="str">
        <f>IFERROR(__xludf.DUMMYFUNCTION("""COMPUTED_VALUE"""),"")</f>
        <v/>
      </c>
      <c r="K771" s="7" t="str">
        <f>IFERROR(__xludf.DUMMYFUNCTION("""COMPUTED_VALUE"""),"")</f>
        <v/>
      </c>
      <c r="M771" s="7" t="s">
        <v>110</v>
      </c>
      <c r="O771" s="7" t="str">
        <f>IFERROR(__xludf.DUMMYFUNCTION("""COMPUTED_VALUE"""),"")</f>
        <v/>
      </c>
      <c r="Q771" s="7" t="s">
        <v>110</v>
      </c>
      <c r="R771" s="7" t="str">
        <f>IFERROR(__xludf.DUMMYFUNCTION("""COMPUTED_VALUE"""),"")</f>
        <v/>
      </c>
    </row>
    <row r="772">
      <c r="B772" s="8"/>
      <c r="G772" s="7" t="str">
        <f>IFERROR(__xludf.DUMMYFUNCTION("""COMPUTED_VALUE"""),"")</f>
        <v/>
      </c>
      <c r="K772" s="7" t="str">
        <f>IFERROR(__xludf.DUMMYFUNCTION("""COMPUTED_VALUE"""),"")</f>
        <v/>
      </c>
      <c r="M772" s="7" t="s">
        <v>110</v>
      </c>
      <c r="O772" s="7" t="str">
        <f>IFERROR(__xludf.DUMMYFUNCTION("""COMPUTED_VALUE"""),"")</f>
        <v/>
      </c>
      <c r="Q772" s="7" t="s">
        <v>110</v>
      </c>
      <c r="R772" s="7" t="str">
        <f>IFERROR(__xludf.DUMMYFUNCTION("""COMPUTED_VALUE"""),"")</f>
        <v/>
      </c>
    </row>
    <row r="773">
      <c r="B773" s="8"/>
      <c r="G773" s="7" t="str">
        <f>IFERROR(__xludf.DUMMYFUNCTION("""COMPUTED_VALUE"""),"")</f>
        <v/>
      </c>
      <c r="K773" s="7" t="str">
        <f>IFERROR(__xludf.DUMMYFUNCTION("""COMPUTED_VALUE"""),"")</f>
        <v/>
      </c>
      <c r="M773" s="7" t="s">
        <v>110</v>
      </c>
      <c r="O773" s="7" t="str">
        <f>IFERROR(__xludf.DUMMYFUNCTION("""COMPUTED_VALUE"""),"")</f>
        <v/>
      </c>
      <c r="Q773" s="7" t="s">
        <v>110</v>
      </c>
      <c r="R773" s="7" t="str">
        <f>IFERROR(__xludf.DUMMYFUNCTION("""COMPUTED_VALUE"""),"")</f>
        <v/>
      </c>
    </row>
    <row r="774">
      <c r="B774" s="8"/>
      <c r="G774" s="7" t="str">
        <f>IFERROR(__xludf.DUMMYFUNCTION("""COMPUTED_VALUE"""),"")</f>
        <v/>
      </c>
      <c r="K774" s="7" t="str">
        <f>IFERROR(__xludf.DUMMYFUNCTION("""COMPUTED_VALUE"""),"")</f>
        <v/>
      </c>
      <c r="M774" s="7" t="s">
        <v>110</v>
      </c>
      <c r="O774" s="7" t="str">
        <f>IFERROR(__xludf.DUMMYFUNCTION("""COMPUTED_VALUE"""),"")</f>
        <v/>
      </c>
      <c r="Q774" s="7" t="s">
        <v>110</v>
      </c>
      <c r="R774" s="7" t="str">
        <f>IFERROR(__xludf.DUMMYFUNCTION("""COMPUTED_VALUE"""),"")</f>
        <v/>
      </c>
    </row>
    <row r="775">
      <c r="B775" s="8"/>
      <c r="G775" s="7" t="str">
        <f>IFERROR(__xludf.DUMMYFUNCTION("""COMPUTED_VALUE"""),"")</f>
        <v/>
      </c>
      <c r="K775" s="7" t="str">
        <f>IFERROR(__xludf.DUMMYFUNCTION("""COMPUTED_VALUE"""),"")</f>
        <v/>
      </c>
      <c r="M775" s="7" t="s">
        <v>110</v>
      </c>
      <c r="O775" s="7" t="str">
        <f>IFERROR(__xludf.DUMMYFUNCTION("""COMPUTED_VALUE"""),"")</f>
        <v/>
      </c>
      <c r="Q775" s="7" t="s">
        <v>110</v>
      </c>
      <c r="R775" s="7" t="str">
        <f>IFERROR(__xludf.DUMMYFUNCTION("""COMPUTED_VALUE"""),"")</f>
        <v/>
      </c>
    </row>
    <row r="776">
      <c r="B776" s="8"/>
      <c r="G776" s="7" t="str">
        <f>IFERROR(__xludf.DUMMYFUNCTION("""COMPUTED_VALUE"""),"")</f>
        <v/>
      </c>
      <c r="K776" s="7" t="str">
        <f>IFERROR(__xludf.DUMMYFUNCTION("""COMPUTED_VALUE"""),"")</f>
        <v/>
      </c>
      <c r="M776" s="7" t="s">
        <v>110</v>
      </c>
      <c r="O776" s="7" t="str">
        <f>IFERROR(__xludf.DUMMYFUNCTION("""COMPUTED_VALUE"""),"")</f>
        <v/>
      </c>
      <c r="Q776" s="7" t="s">
        <v>110</v>
      </c>
      <c r="R776" s="7" t="str">
        <f>IFERROR(__xludf.DUMMYFUNCTION("""COMPUTED_VALUE"""),"")</f>
        <v/>
      </c>
    </row>
    <row r="777">
      <c r="B777" s="8"/>
      <c r="G777" s="7" t="str">
        <f>IFERROR(__xludf.DUMMYFUNCTION("""COMPUTED_VALUE"""),"")</f>
        <v/>
      </c>
      <c r="K777" s="7" t="str">
        <f>IFERROR(__xludf.DUMMYFUNCTION("""COMPUTED_VALUE"""),"")</f>
        <v/>
      </c>
      <c r="M777" s="7" t="s">
        <v>110</v>
      </c>
      <c r="O777" s="7" t="str">
        <f>IFERROR(__xludf.DUMMYFUNCTION("""COMPUTED_VALUE"""),"")</f>
        <v/>
      </c>
      <c r="Q777" s="7" t="s">
        <v>110</v>
      </c>
      <c r="R777" s="7" t="str">
        <f>IFERROR(__xludf.DUMMYFUNCTION("""COMPUTED_VALUE"""),"")</f>
        <v/>
      </c>
    </row>
    <row r="778">
      <c r="B778" s="8"/>
      <c r="G778" s="7" t="str">
        <f>IFERROR(__xludf.DUMMYFUNCTION("""COMPUTED_VALUE"""),"")</f>
        <v/>
      </c>
      <c r="K778" s="7" t="str">
        <f>IFERROR(__xludf.DUMMYFUNCTION("""COMPUTED_VALUE"""),"")</f>
        <v/>
      </c>
      <c r="M778" s="7" t="s">
        <v>110</v>
      </c>
      <c r="O778" s="7" t="str">
        <f>IFERROR(__xludf.DUMMYFUNCTION("""COMPUTED_VALUE"""),"")</f>
        <v/>
      </c>
      <c r="Q778" s="7" t="s">
        <v>110</v>
      </c>
      <c r="R778" s="7" t="str">
        <f>IFERROR(__xludf.DUMMYFUNCTION("""COMPUTED_VALUE"""),"")</f>
        <v/>
      </c>
    </row>
    <row r="779">
      <c r="B779" s="8"/>
      <c r="G779" s="7" t="str">
        <f>IFERROR(__xludf.DUMMYFUNCTION("""COMPUTED_VALUE"""),"")</f>
        <v/>
      </c>
      <c r="K779" s="7" t="str">
        <f>IFERROR(__xludf.DUMMYFUNCTION("""COMPUTED_VALUE"""),"")</f>
        <v/>
      </c>
      <c r="M779" s="7" t="s">
        <v>110</v>
      </c>
      <c r="O779" s="7" t="str">
        <f>IFERROR(__xludf.DUMMYFUNCTION("""COMPUTED_VALUE"""),"")</f>
        <v/>
      </c>
      <c r="Q779" s="7" t="s">
        <v>110</v>
      </c>
      <c r="R779" s="7" t="str">
        <f>IFERROR(__xludf.DUMMYFUNCTION("""COMPUTED_VALUE"""),"")</f>
        <v/>
      </c>
    </row>
    <row r="780">
      <c r="B780" s="8"/>
      <c r="G780" s="7" t="str">
        <f>IFERROR(__xludf.DUMMYFUNCTION("""COMPUTED_VALUE"""),"")</f>
        <v/>
      </c>
      <c r="K780" s="7" t="str">
        <f>IFERROR(__xludf.DUMMYFUNCTION("""COMPUTED_VALUE"""),"")</f>
        <v/>
      </c>
      <c r="M780" s="7" t="s">
        <v>110</v>
      </c>
      <c r="O780" s="7" t="str">
        <f>IFERROR(__xludf.DUMMYFUNCTION("""COMPUTED_VALUE"""),"")</f>
        <v/>
      </c>
      <c r="Q780" s="7" t="s">
        <v>110</v>
      </c>
      <c r="R780" s="7" t="str">
        <f>IFERROR(__xludf.DUMMYFUNCTION("""COMPUTED_VALUE"""),"")</f>
        <v/>
      </c>
    </row>
    <row r="781">
      <c r="B781" s="8"/>
      <c r="G781" s="7" t="str">
        <f>IFERROR(__xludf.DUMMYFUNCTION("""COMPUTED_VALUE"""),"")</f>
        <v/>
      </c>
      <c r="K781" s="7" t="str">
        <f>IFERROR(__xludf.DUMMYFUNCTION("""COMPUTED_VALUE"""),"")</f>
        <v/>
      </c>
      <c r="M781" s="7" t="s">
        <v>110</v>
      </c>
      <c r="O781" s="7" t="str">
        <f>IFERROR(__xludf.DUMMYFUNCTION("""COMPUTED_VALUE"""),"")</f>
        <v/>
      </c>
      <c r="Q781" s="7" t="s">
        <v>110</v>
      </c>
      <c r="R781" s="7" t="str">
        <f>IFERROR(__xludf.DUMMYFUNCTION("""COMPUTED_VALUE"""),"")</f>
        <v/>
      </c>
    </row>
    <row r="782">
      <c r="B782" s="8"/>
      <c r="G782" s="7" t="str">
        <f>IFERROR(__xludf.DUMMYFUNCTION("""COMPUTED_VALUE"""),"")</f>
        <v/>
      </c>
      <c r="K782" s="7" t="str">
        <f>IFERROR(__xludf.DUMMYFUNCTION("""COMPUTED_VALUE"""),"")</f>
        <v/>
      </c>
      <c r="M782" s="7" t="s">
        <v>110</v>
      </c>
      <c r="O782" s="7" t="str">
        <f>IFERROR(__xludf.DUMMYFUNCTION("""COMPUTED_VALUE"""),"")</f>
        <v/>
      </c>
      <c r="Q782" s="7" t="s">
        <v>110</v>
      </c>
      <c r="R782" s="7" t="str">
        <f>IFERROR(__xludf.DUMMYFUNCTION("""COMPUTED_VALUE"""),"")</f>
        <v/>
      </c>
    </row>
    <row r="783">
      <c r="B783" s="8"/>
      <c r="G783" s="7" t="str">
        <f>IFERROR(__xludf.DUMMYFUNCTION("""COMPUTED_VALUE"""),"")</f>
        <v/>
      </c>
      <c r="K783" s="7" t="str">
        <f>IFERROR(__xludf.DUMMYFUNCTION("""COMPUTED_VALUE"""),"")</f>
        <v/>
      </c>
      <c r="M783" s="7" t="s">
        <v>110</v>
      </c>
      <c r="O783" s="7" t="str">
        <f>IFERROR(__xludf.DUMMYFUNCTION("""COMPUTED_VALUE"""),"")</f>
        <v/>
      </c>
      <c r="Q783" s="7" t="s">
        <v>110</v>
      </c>
      <c r="R783" s="7" t="str">
        <f>IFERROR(__xludf.DUMMYFUNCTION("""COMPUTED_VALUE"""),"")</f>
        <v/>
      </c>
    </row>
    <row r="784">
      <c r="B784" s="8"/>
      <c r="G784" s="7" t="str">
        <f>IFERROR(__xludf.DUMMYFUNCTION("""COMPUTED_VALUE"""),"")</f>
        <v/>
      </c>
      <c r="K784" s="7" t="str">
        <f>IFERROR(__xludf.DUMMYFUNCTION("""COMPUTED_VALUE"""),"")</f>
        <v/>
      </c>
      <c r="M784" s="7" t="s">
        <v>110</v>
      </c>
      <c r="O784" s="7" t="str">
        <f>IFERROR(__xludf.DUMMYFUNCTION("""COMPUTED_VALUE"""),"")</f>
        <v/>
      </c>
      <c r="Q784" s="7" t="s">
        <v>110</v>
      </c>
      <c r="R784" s="7" t="str">
        <f>IFERROR(__xludf.DUMMYFUNCTION("""COMPUTED_VALUE"""),"")</f>
        <v/>
      </c>
    </row>
    <row r="785">
      <c r="B785" s="8"/>
      <c r="G785" s="7" t="str">
        <f>IFERROR(__xludf.DUMMYFUNCTION("""COMPUTED_VALUE"""),"")</f>
        <v/>
      </c>
      <c r="K785" s="7" t="str">
        <f>IFERROR(__xludf.DUMMYFUNCTION("""COMPUTED_VALUE"""),"")</f>
        <v/>
      </c>
      <c r="M785" s="7" t="s">
        <v>110</v>
      </c>
      <c r="O785" s="7" t="str">
        <f>IFERROR(__xludf.DUMMYFUNCTION("""COMPUTED_VALUE"""),"")</f>
        <v/>
      </c>
      <c r="Q785" s="7" t="s">
        <v>110</v>
      </c>
      <c r="R785" s="7" t="str">
        <f>IFERROR(__xludf.DUMMYFUNCTION("""COMPUTED_VALUE"""),"")</f>
        <v/>
      </c>
    </row>
    <row r="786">
      <c r="B786" s="8"/>
      <c r="G786" s="7" t="str">
        <f>IFERROR(__xludf.DUMMYFUNCTION("""COMPUTED_VALUE"""),"")</f>
        <v/>
      </c>
      <c r="K786" s="7" t="str">
        <f>IFERROR(__xludf.DUMMYFUNCTION("""COMPUTED_VALUE"""),"")</f>
        <v/>
      </c>
      <c r="M786" s="7" t="s">
        <v>110</v>
      </c>
      <c r="O786" s="7" t="str">
        <f>IFERROR(__xludf.DUMMYFUNCTION("""COMPUTED_VALUE"""),"")</f>
        <v/>
      </c>
      <c r="Q786" s="7" t="s">
        <v>110</v>
      </c>
      <c r="R786" s="7" t="str">
        <f>IFERROR(__xludf.DUMMYFUNCTION("""COMPUTED_VALUE"""),"")</f>
        <v/>
      </c>
    </row>
    <row r="787">
      <c r="B787" s="8"/>
      <c r="G787" s="7" t="str">
        <f>IFERROR(__xludf.DUMMYFUNCTION("""COMPUTED_VALUE"""),"")</f>
        <v/>
      </c>
      <c r="K787" s="7" t="str">
        <f>IFERROR(__xludf.DUMMYFUNCTION("""COMPUTED_VALUE"""),"")</f>
        <v/>
      </c>
      <c r="M787" s="7" t="s">
        <v>110</v>
      </c>
      <c r="O787" s="7" t="str">
        <f>IFERROR(__xludf.DUMMYFUNCTION("""COMPUTED_VALUE"""),"")</f>
        <v/>
      </c>
      <c r="Q787" s="7" t="s">
        <v>110</v>
      </c>
      <c r="R787" s="7" t="str">
        <f>IFERROR(__xludf.DUMMYFUNCTION("""COMPUTED_VALUE"""),"")</f>
        <v/>
      </c>
    </row>
    <row r="788">
      <c r="B788" s="8"/>
      <c r="G788" s="7" t="str">
        <f>IFERROR(__xludf.DUMMYFUNCTION("""COMPUTED_VALUE"""),"")</f>
        <v/>
      </c>
      <c r="K788" s="7" t="str">
        <f>IFERROR(__xludf.DUMMYFUNCTION("""COMPUTED_VALUE"""),"")</f>
        <v/>
      </c>
      <c r="M788" s="7" t="s">
        <v>110</v>
      </c>
      <c r="O788" s="7" t="str">
        <f>IFERROR(__xludf.DUMMYFUNCTION("""COMPUTED_VALUE"""),"")</f>
        <v/>
      </c>
      <c r="Q788" s="7" t="s">
        <v>110</v>
      </c>
      <c r="R788" s="7" t="str">
        <f>IFERROR(__xludf.DUMMYFUNCTION("""COMPUTED_VALUE"""),"")</f>
        <v/>
      </c>
    </row>
    <row r="789">
      <c r="B789" s="8"/>
      <c r="G789" s="7" t="str">
        <f>IFERROR(__xludf.DUMMYFUNCTION("""COMPUTED_VALUE"""),"")</f>
        <v/>
      </c>
      <c r="K789" s="7" t="str">
        <f>IFERROR(__xludf.DUMMYFUNCTION("""COMPUTED_VALUE"""),"")</f>
        <v/>
      </c>
      <c r="M789" s="7" t="s">
        <v>110</v>
      </c>
      <c r="O789" s="7" t="str">
        <f>IFERROR(__xludf.DUMMYFUNCTION("""COMPUTED_VALUE"""),"")</f>
        <v/>
      </c>
      <c r="Q789" s="7" t="s">
        <v>110</v>
      </c>
      <c r="R789" s="7" t="str">
        <f>IFERROR(__xludf.DUMMYFUNCTION("""COMPUTED_VALUE"""),"")</f>
        <v/>
      </c>
    </row>
    <row r="790">
      <c r="B790" s="8"/>
      <c r="G790" s="7" t="str">
        <f>IFERROR(__xludf.DUMMYFUNCTION("""COMPUTED_VALUE"""),"")</f>
        <v/>
      </c>
      <c r="K790" s="7" t="str">
        <f>IFERROR(__xludf.DUMMYFUNCTION("""COMPUTED_VALUE"""),"")</f>
        <v/>
      </c>
      <c r="M790" s="7" t="s">
        <v>110</v>
      </c>
      <c r="O790" s="7" t="str">
        <f>IFERROR(__xludf.DUMMYFUNCTION("""COMPUTED_VALUE"""),"")</f>
        <v/>
      </c>
      <c r="Q790" s="7" t="s">
        <v>110</v>
      </c>
      <c r="R790" s="7" t="str">
        <f>IFERROR(__xludf.DUMMYFUNCTION("""COMPUTED_VALUE"""),"")</f>
        <v/>
      </c>
    </row>
    <row r="791">
      <c r="B791" s="8"/>
      <c r="G791" s="7" t="str">
        <f>IFERROR(__xludf.DUMMYFUNCTION("""COMPUTED_VALUE"""),"")</f>
        <v/>
      </c>
      <c r="K791" s="7" t="str">
        <f>IFERROR(__xludf.DUMMYFUNCTION("""COMPUTED_VALUE"""),"")</f>
        <v/>
      </c>
      <c r="M791" s="7" t="s">
        <v>110</v>
      </c>
      <c r="O791" s="7" t="str">
        <f>IFERROR(__xludf.DUMMYFUNCTION("""COMPUTED_VALUE"""),"")</f>
        <v/>
      </c>
      <c r="Q791" s="7" t="s">
        <v>110</v>
      </c>
      <c r="R791" s="7" t="str">
        <f>IFERROR(__xludf.DUMMYFUNCTION("""COMPUTED_VALUE"""),"")</f>
        <v/>
      </c>
    </row>
    <row r="792">
      <c r="B792" s="8"/>
      <c r="G792" s="7" t="str">
        <f>IFERROR(__xludf.DUMMYFUNCTION("""COMPUTED_VALUE"""),"")</f>
        <v/>
      </c>
      <c r="K792" s="7" t="str">
        <f>IFERROR(__xludf.DUMMYFUNCTION("""COMPUTED_VALUE"""),"")</f>
        <v/>
      </c>
      <c r="M792" s="7" t="s">
        <v>110</v>
      </c>
      <c r="O792" s="7" t="str">
        <f>IFERROR(__xludf.DUMMYFUNCTION("""COMPUTED_VALUE"""),"")</f>
        <v/>
      </c>
      <c r="Q792" s="7" t="s">
        <v>110</v>
      </c>
      <c r="R792" s="7" t="str">
        <f>IFERROR(__xludf.DUMMYFUNCTION("""COMPUTED_VALUE"""),"")</f>
        <v/>
      </c>
    </row>
    <row r="793">
      <c r="B793" s="8"/>
      <c r="G793" s="7" t="str">
        <f>IFERROR(__xludf.DUMMYFUNCTION("""COMPUTED_VALUE"""),"")</f>
        <v/>
      </c>
      <c r="K793" s="7" t="str">
        <f>IFERROR(__xludf.DUMMYFUNCTION("""COMPUTED_VALUE"""),"")</f>
        <v/>
      </c>
      <c r="M793" s="7" t="s">
        <v>110</v>
      </c>
      <c r="O793" s="7" t="str">
        <f>IFERROR(__xludf.DUMMYFUNCTION("""COMPUTED_VALUE"""),"")</f>
        <v/>
      </c>
      <c r="Q793" s="7" t="s">
        <v>110</v>
      </c>
      <c r="R793" s="7" t="str">
        <f>IFERROR(__xludf.DUMMYFUNCTION("""COMPUTED_VALUE"""),"")</f>
        <v/>
      </c>
    </row>
    <row r="794">
      <c r="B794" s="8"/>
      <c r="G794" s="7" t="str">
        <f>IFERROR(__xludf.DUMMYFUNCTION("""COMPUTED_VALUE"""),"")</f>
        <v/>
      </c>
      <c r="K794" s="7" t="str">
        <f>IFERROR(__xludf.DUMMYFUNCTION("""COMPUTED_VALUE"""),"")</f>
        <v/>
      </c>
      <c r="M794" s="7" t="s">
        <v>110</v>
      </c>
      <c r="O794" s="7" t="str">
        <f>IFERROR(__xludf.DUMMYFUNCTION("""COMPUTED_VALUE"""),"")</f>
        <v/>
      </c>
      <c r="Q794" s="7" t="s">
        <v>110</v>
      </c>
      <c r="R794" s="7" t="str">
        <f>IFERROR(__xludf.DUMMYFUNCTION("""COMPUTED_VALUE"""),"")</f>
        <v/>
      </c>
    </row>
    <row r="795">
      <c r="B795" s="8"/>
      <c r="G795" s="7" t="str">
        <f>IFERROR(__xludf.DUMMYFUNCTION("""COMPUTED_VALUE"""),"")</f>
        <v/>
      </c>
      <c r="K795" s="7" t="str">
        <f>IFERROR(__xludf.DUMMYFUNCTION("""COMPUTED_VALUE"""),"")</f>
        <v/>
      </c>
      <c r="M795" s="7" t="s">
        <v>110</v>
      </c>
      <c r="O795" s="7" t="str">
        <f>IFERROR(__xludf.DUMMYFUNCTION("""COMPUTED_VALUE"""),"")</f>
        <v/>
      </c>
      <c r="Q795" s="7" t="s">
        <v>110</v>
      </c>
      <c r="R795" s="7" t="str">
        <f>IFERROR(__xludf.DUMMYFUNCTION("""COMPUTED_VALUE"""),"")</f>
        <v/>
      </c>
    </row>
    <row r="796">
      <c r="B796" s="8"/>
      <c r="G796" s="7" t="str">
        <f>IFERROR(__xludf.DUMMYFUNCTION("""COMPUTED_VALUE"""),"")</f>
        <v/>
      </c>
      <c r="K796" s="7" t="str">
        <f>IFERROR(__xludf.DUMMYFUNCTION("""COMPUTED_VALUE"""),"")</f>
        <v/>
      </c>
      <c r="M796" s="7" t="s">
        <v>110</v>
      </c>
      <c r="O796" s="7" t="str">
        <f>IFERROR(__xludf.DUMMYFUNCTION("""COMPUTED_VALUE"""),"")</f>
        <v/>
      </c>
      <c r="Q796" s="7" t="s">
        <v>110</v>
      </c>
      <c r="R796" s="7" t="str">
        <f>IFERROR(__xludf.DUMMYFUNCTION("""COMPUTED_VALUE"""),"")</f>
        <v/>
      </c>
    </row>
    <row r="797">
      <c r="B797" s="8"/>
      <c r="G797" s="7" t="str">
        <f>IFERROR(__xludf.DUMMYFUNCTION("""COMPUTED_VALUE"""),"")</f>
        <v/>
      </c>
      <c r="K797" s="7" t="str">
        <f>IFERROR(__xludf.DUMMYFUNCTION("""COMPUTED_VALUE"""),"")</f>
        <v/>
      </c>
      <c r="M797" s="7" t="s">
        <v>110</v>
      </c>
      <c r="O797" s="7" t="str">
        <f>IFERROR(__xludf.DUMMYFUNCTION("""COMPUTED_VALUE"""),"")</f>
        <v/>
      </c>
      <c r="Q797" s="7" t="s">
        <v>110</v>
      </c>
      <c r="R797" s="7" t="str">
        <f>IFERROR(__xludf.DUMMYFUNCTION("""COMPUTED_VALUE"""),"")</f>
        <v/>
      </c>
    </row>
    <row r="798">
      <c r="B798" s="8"/>
      <c r="G798" s="7" t="str">
        <f>IFERROR(__xludf.DUMMYFUNCTION("""COMPUTED_VALUE"""),"")</f>
        <v/>
      </c>
      <c r="K798" s="7" t="str">
        <f>IFERROR(__xludf.DUMMYFUNCTION("""COMPUTED_VALUE"""),"")</f>
        <v/>
      </c>
      <c r="M798" s="7" t="s">
        <v>110</v>
      </c>
      <c r="O798" s="7" t="str">
        <f>IFERROR(__xludf.DUMMYFUNCTION("""COMPUTED_VALUE"""),"")</f>
        <v/>
      </c>
      <c r="Q798" s="7" t="s">
        <v>110</v>
      </c>
      <c r="R798" s="7" t="str">
        <f>IFERROR(__xludf.DUMMYFUNCTION("""COMPUTED_VALUE"""),"")</f>
        <v/>
      </c>
    </row>
    <row r="799">
      <c r="B799" s="8"/>
      <c r="G799" s="7" t="str">
        <f>IFERROR(__xludf.DUMMYFUNCTION("""COMPUTED_VALUE"""),"")</f>
        <v/>
      </c>
      <c r="K799" s="7" t="str">
        <f>IFERROR(__xludf.DUMMYFUNCTION("""COMPUTED_VALUE"""),"")</f>
        <v/>
      </c>
      <c r="M799" s="7" t="s">
        <v>110</v>
      </c>
      <c r="O799" s="7" t="str">
        <f>IFERROR(__xludf.DUMMYFUNCTION("""COMPUTED_VALUE"""),"")</f>
        <v/>
      </c>
      <c r="Q799" s="7" t="s">
        <v>110</v>
      </c>
      <c r="R799" s="7" t="str">
        <f>IFERROR(__xludf.DUMMYFUNCTION("""COMPUTED_VALUE"""),"")</f>
        <v/>
      </c>
    </row>
    <row r="800">
      <c r="B800" s="8"/>
      <c r="G800" s="7" t="str">
        <f>IFERROR(__xludf.DUMMYFUNCTION("""COMPUTED_VALUE"""),"")</f>
        <v/>
      </c>
      <c r="K800" s="7" t="str">
        <f>IFERROR(__xludf.DUMMYFUNCTION("""COMPUTED_VALUE"""),"")</f>
        <v/>
      </c>
      <c r="M800" s="7" t="s">
        <v>110</v>
      </c>
      <c r="O800" s="7" t="str">
        <f>IFERROR(__xludf.DUMMYFUNCTION("""COMPUTED_VALUE"""),"")</f>
        <v/>
      </c>
      <c r="Q800" s="7" t="s">
        <v>110</v>
      </c>
      <c r="R800" s="7" t="str">
        <f>IFERROR(__xludf.DUMMYFUNCTION("""COMPUTED_VALUE"""),"")</f>
        <v/>
      </c>
    </row>
    <row r="801">
      <c r="B801" s="8"/>
      <c r="G801" s="7" t="str">
        <f>IFERROR(__xludf.DUMMYFUNCTION("""COMPUTED_VALUE"""),"")</f>
        <v/>
      </c>
      <c r="K801" s="7" t="str">
        <f>IFERROR(__xludf.DUMMYFUNCTION("""COMPUTED_VALUE"""),"")</f>
        <v/>
      </c>
      <c r="M801" s="7" t="s">
        <v>110</v>
      </c>
      <c r="O801" s="7" t="str">
        <f>IFERROR(__xludf.DUMMYFUNCTION("""COMPUTED_VALUE"""),"")</f>
        <v/>
      </c>
      <c r="Q801" s="7" t="s">
        <v>110</v>
      </c>
      <c r="R801" s="7" t="str">
        <f>IFERROR(__xludf.DUMMYFUNCTION("""COMPUTED_VALUE"""),"")</f>
        <v/>
      </c>
    </row>
    <row r="802">
      <c r="B802" s="8"/>
      <c r="G802" s="7" t="str">
        <f>IFERROR(__xludf.DUMMYFUNCTION("""COMPUTED_VALUE"""),"")</f>
        <v/>
      </c>
      <c r="K802" s="7" t="str">
        <f>IFERROR(__xludf.DUMMYFUNCTION("""COMPUTED_VALUE"""),"")</f>
        <v/>
      </c>
      <c r="M802" s="7" t="s">
        <v>110</v>
      </c>
      <c r="O802" s="7" t="str">
        <f>IFERROR(__xludf.DUMMYFUNCTION("""COMPUTED_VALUE"""),"")</f>
        <v/>
      </c>
      <c r="Q802" s="7" t="s">
        <v>110</v>
      </c>
      <c r="R802" s="7" t="str">
        <f>IFERROR(__xludf.DUMMYFUNCTION("""COMPUTED_VALUE"""),"")</f>
        <v/>
      </c>
    </row>
    <row r="803">
      <c r="B803" s="8"/>
      <c r="G803" s="7" t="str">
        <f>IFERROR(__xludf.DUMMYFUNCTION("""COMPUTED_VALUE"""),"")</f>
        <v/>
      </c>
      <c r="K803" s="7" t="str">
        <f>IFERROR(__xludf.DUMMYFUNCTION("""COMPUTED_VALUE"""),"")</f>
        <v/>
      </c>
      <c r="M803" s="7" t="s">
        <v>110</v>
      </c>
      <c r="O803" s="7" t="str">
        <f>IFERROR(__xludf.DUMMYFUNCTION("""COMPUTED_VALUE"""),"")</f>
        <v/>
      </c>
      <c r="Q803" s="7" t="s">
        <v>110</v>
      </c>
      <c r="R803" s="7" t="str">
        <f>IFERROR(__xludf.DUMMYFUNCTION("""COMPUTED_VALUE"""),"")</f>
        <v/>
      </c>
    </row>
    <row r="804">
      <c r="B804" s="8"/>
      <c r="G804" s="7" t="str">
        <f>IFERROR(__xludf.DUMMYFUNCTION("""COMPUTED_VALUE"""),"")</f>
        <v/>
      </c>
      <c r="K804" s="7" t="str">
        <f>IFERROR(__xludf.DUMMYFUNCTION("""COMPUTED_VALUE"""),"")</f>
        <v/>
      </c>
      <c r="M804" s="7" t="s">
        <v>110</v>
      </c>
      <c r="O804" s="7" t="str">
        <f>IFERROR(__xludf.DUMMYFUNCTION("""COMPUTED_VALUE"""),"")</f>
        <v/>
      </c>
      <c r="Q804" s="7" t="s">
        <v>110</v>
      </c>
      <c r="R804" s="7" t="str">
        <f>IFERROR(__xludf.DUMMYFUNCTION("""COMPUTED_VALUE"""),"")</f>
        <v/>
      </c>
    </row>
    <row r="805">
      <c r="B805" s="8"/>
      <c r="G805" s="7" t="str">
        <f>IFERROR(__xludf.DUMMYFUNCTION("""COMPUTED_VALUE"""),"")</f>
        <v/>
      </c>
      <c r="K805" s="7" t="str">
        <f>IFERROR(__xludf.DUMMYFUNCTION("""COMPUTED_VALUE"""),"")</f>
        <v/>
      </c>
      <c r="M805" s="7" t="s">
        <v>110</v>
      </c>
      <c r="O805" s="7" t="str">
        <f>IFERROR(__xludf.DUMMYFUNCTION("""COMPUTED_VALUE"""),"")</f>
        <v/>
      </c>
      <c r="Q805" s="7" t="s">
        <v>110</v>
      </c>
      <c r="R805" s="7" t="str">
        <f>IFERROR(__xludf.DUMMYFUNCTION("""COMPUTED_VALUE"""),"")</f>
        <v/>
      </c>
    </row>
    <row r="806">
      <c r="B806" s="8"/>
      <c r="G806" s="7" t="str">
        <f>IFERROR(__xludf.DUMMYFUNCTION("""COMPUTED_VALUE"""),"")</f>
        <v/>
      </c>
      <c r="K806" s="7" t="str">
        <f>IFERROR(__xludf.DUMMYFUNCTION("""COMPUTED_VALUE"""),"")</f>
        <v/>
      </c>
      <c r="M806" s="7" t="s">
        <v>110</v>
      </c>
      <c r="O806" s="7" t="str">
        <f>IFERROR(__xludf.DUMMYFUNCTION("""COMPUTED_VALUE"""),"")</f>
        <v/>
      </c>
      <c r="Q806" s="7" t="s">
        <v>110</v>
      </c>
      <c r="R806" s="7" t="str">
        <f>IFERROR(__xludf.DUMMYFUNCTION("""COMPUTED_VALUE"""),"")</f>
        <v/>
      </c>
    </row>
    <row r="807">
      <c r="B807" s="8"/>
      <c r="G807" s="7" t="str">
        <f>IFERROR(__xludf.DUMMYFUNCTION("""COMPUTED_VALUE"""),"")</f>
        <v/>
      </c>
      <c r="K807" s="7" t="str">
        <f>IFERROR(__xludf.DUMMYFUNCTION("""COMPUTED_VALUE"""),"")</f>
        <v/>
      </c>
      <c r="M807" s="7" t="s">
        <v>110</v>
      </c>
      <c r="O807" s="7" t="str">
        <f>IFERROR(__xludf.DUMMYFUNCTION("""COMPUTED_VALUE"""),"")</f>
        <v/>
      </c>
      <c r="Q807" s="7" t="s">
        <v>110</v>
      </c>
      <c r="R807" s="7" t="str">
        <f>IFERROR(__xludf.DUMMYFUNCTION("""COMPUTED_VALUE"""),"")</f>
        <v/>
      </c>
    </row>
    <row r="808">
      <c r="B808" s="8"/>
      <c r="G808" s="7" t="str">
        <f>IFERROR(__xludf.DUMMYFUNCTION("""COMPUTED_VALUE"""),"")</f>
        <v/>
      </c>
      <c r="K808" s="7" t="str">
        <f>IFERROR(__xludf.DUMMYFUNCTION("""COMPUTED_VALUE"""),"")</f>
        <v/>
      </c>
      <c r="M808" s="7" t="s">
        <v>110</v>
      </c>
      <c r="O808" s="7" t="str">
        <f>IFERROR(__xludf.DUMMYFUNCTION("""COMPUTED_VALUE"""),"")</f>
        <v/>
      </c>
      <c r="Q808" s="7" t="s">
        <v>110</v>
      </c>
      <c r="R808" s="7" t="str">
        <f>IFERROR(__xludf.DUMMYFUNCTION("""COMPUTED_VALUE"""),"")</f>
        <v/>
      </c>
    </row>
    <row r="809">
      <c r="B809" s="8"/>
      <c r="G809" s="7" t="str">
        <f>IFERROR(__xludf.DUMMYFUNCTION("""COMPUTED_VALUE"""),"")</f>
        <v/>
      </c>
      <c r="K809" s="7" t="str">
        <f>IFERROR(__xludf.DUMMYFUNCTION("""COMPUTED_VALUE"""),"")</f>
        <v/>
      </c>
      <c r="M809" s="7" t="s">
        <v>110</v>
      </c>
      <c r="O809" s="7" t="str">
        <f>IFERROR(__xludf.DUMMYFUNCTION("""COMPUTED_VALUE"""),"")</f>
        <v/>
      </c>
      <c r="Q809" s="7" t="s">
        <v>110</v>
      </c>
      <c r="R809" s="7" t="str">
        <f>IFERROR(__xludf.DUMMYFUNCTION("""COMPUTED_VALUE"""),"")</f>
        <v/>
      </c>
    </row>
    <row r="810">
      <c r="B810" s="8"/>
      <c r="G810" s="7" t="str">
        <f>IFERROR(__xludf.DUMMYFUNCTION("""COMPUTED_VALUE"""),"")</f>
        <v/>
      </c>
      <c r="K810" s="7" t="str">
        <f>IFERROR(__xludf.DUMMYFUNCTION("""COMPUTED_VALUE"""),"")</f>
        <v/>
      </c>
      <c r="M810" s="7" t="s">
        <v>110</v>
      </c>
      <c r="O810" s="7" t="str">
        <f>IFERROR(__xludf.DUMMYFUNCTION("""COMPUTED_VALUE"""),"")</f>
        <v/>
      </c>
      <c r="Q810" s="7" t="s">
        <v>110</v>
      </c>
      <c r="R810" s="7" t="str">
        <f>IFERROR(__xludf.DUMMYFUNCTION("""COMPUTED_VALUE"""),"")</f>
        <v/>
      </c>
    </row>
    <row r="811">
      <c r="B811" s="8"/>
      <c r="G811" s="7" t="str">
        <f>IFERROR(__xludf.DUMMYFUNCTION("""COMPUTED_VALUE"""),"")</f>
        <v/>
      </c>
      <c r="K811" s="7" t="str">
        <f>IFERROR(__xludf.DUMMYFUNCTION("""COMPUTED_VALUE"""),"")</f>
        <v/>
      </c>
      <c r="M811" s="7" t="s">
        <v>110</v>
      </c>
      <c r="O811" s="7" t="str">
        <f>IFERROR(__xludf.DUMMYFUNCTION("""COMPUTED_VALUE"""),"")</f>
        <v/>
      </c>
      <c r="Q811" s="7" t="s">
        <v>110</v>
      </c>
      <c r="R811" s="7" t="str">
        <f>IFERROR(__xludf.DUMMYFUNCTION("""COMPUTED_VALUE"""),"")</f>
        <v/>
      </c>
    </row>
    <row r="812">
      <c r="B812" s="8"/>
      <c r="G812" s="7" t="str">
        <f>IFERROR(__xludf.DUMMYFUNCTION("""COMPUTED_VALUE"""),"")</f>
        <v/>
      </c>
      <c r="K812" s="7" t="str">
        <f>IFERROR(__xludf.DUMMYFUNCTION("""COMPUTED_VALUE"""),"")</f>
        <v/>
      </c>
      <c r="M812" s="7" t="s">
        <v>110</v>
      </c>
      <c r="O812" s="7" t="str">
        <f>IFERROR(__xludf.DUMMYFUNCTION("""COMPUTED_VALUE"""),"")</f>
        <v/>
      </c>
      <c r="Q812" s="7" t="s">
        <v>110</v>
      </c>
      <c r="R812" s="7" t="str">
        <f>IFERROR(__xludf.DUMMYFUNCTION("""COMPUTED_VALUE"""),"")</f>
        <v/>
      </c>
    </row>
    <row r="813">
      <c r="B813" s="8"/>
      <c r="G813" s="7" t="str">
        <f>IFERROR(__xludf.DUMMYFUNCTION("""COMPUTED_VALUE"""),"")</f>
        <v/>
      </c>
      <c r="K813" s="7" t="str">
        <f>IFERROR(__xludf.DUMMYFUNCTION("""COMPUTED_VALUE"""),"")</f>
        <v/>
      </c>
      <c r="M813" s="7" t="s">
        <v>110</v>
      </c>
      <c r="O813" s="7" t="str">
        <f>IFERROR(__xludf.DUMMYFUNCTION("""COMPUTED_VALUE"""),"")</f>
        <v/>
      </c>
      <c r="Q813" s="7" t="s">
        <v>110</v>
      </c>
      <c r="R813" s="7" t="str">
        <f>IFERROR(__xludf.DUMMYFUNCTION("""COMPUTED_VALUE"""),"")</f>
        <v/>
      </c>
    </row>
    <row r="814">
      <c r="B814" s="8"/>
      <c r="G814" s="7" t="str">
        <f>IFERROR(__xludf.DUMMYFUNCTION("""COMPUTED_VALUE"""),"")</f>
        <v/>
      </c>
      <c r="K814" s="7" t="str">
        <f>IFERROR(__xludf.DUMMYFUNCTION("""COMPUTED_VALUE"""),"")</f>
        <v/>
      </c>
      <c r="M814" s="7" t="s">
        <v>110</v>
      </c>
      <c r="O814" s="7" t="str">
        <f>IFERROR(__xludf.DUMMYFUNCTION("""COMPUTED_VALUE"""),"")</f>
        <v/>
      </c>
      <c r="Q814" s="7" t="s">
        <v>110</v>
      </c>
      <c r="R814" s="7" t="str">
        <f>IFERROR(__xludf.DUMMYFUNCTION("""COMPUTED_VALUE"""),"")</f>
        <v/>
      </c>
    </row>
    <row r="815">
      <c r="B815" s="8"/>
      <c r="G815" s="7" t="str">
        <f>IFERROR(__xludf.DUMMYFUNCTION("""COMPUTED_VALUE"""),"")</f>
        <v/>
      </c>
      <c r="K815" s="7" t="str">
        <f>IFERROR(__xludf.DUMMYFUNCTION("""COMPUTED_VALUE"""),"")</f>
        <v/>
      </c>
      <c r="M815" s="7" t="s">
        <v>110</v>
      </c>
      <c r="O815" s="7" t="str">
        <f>IFERROR(__xludf.DUMMYFUNCTION("""COMPUTED_VALUE"""),"")</f>
        <v/>
      </c>
      <c r="Q815" s="7" t="s">
        <v>110</v>
      </c>
      <c r="R815" s="7" t="str">
        <f>IFERROR(__xludf.DUMMYFUNCTION("""COMPUTED_VALUE"""),"")</f>
        <v/>
      </c>
    </row>
    <row r="816">
      <c r="B816" s="8"/>
      <c r="G816" s="7" t="str">
        <f>IFERROR(__xludf.DUMMYFUNCTION("""COMPUTED_VALUE"""),"")</f>
        <v/>
      </c>
      <c r="K816" s="7" t="str">
        <f>IFERROR(__xludf.DUMMYFUNCTION("""COMPUTED_VALUE"""),"")</f>
        <v/>
      </c>
      <c r="M816" s="7" t="s">
        <v>110</v>
      </c>
      <c r="O816" s="7" t="str">
        <f>IFERROR(__xludf.DUMMYFUNCTION("""COMPUTED_VALUE"""),"")</f>
        <v/>
      </c>
      <c r="Q816" s="7" t="s">
        <v>110</v>
      </c>
      <c r="R816" s="7" t="str">
        <f>IFERROR(__xludf.DUMMYFUNCTION("""COMPUTED_VALUE"""),"")</f>
        <v/>
      </c>
    </row>
    <row r="817">
      <c r="B817" s="8"/>
      <c r="G817" s="7" t="str">
        <f>IFERROR(__xludf.DUMMYFUNCTION("""COMPUTED_VALUE"""),"")</f>
        <v/>
      </c>
      <c r="K817" s="7" t="str">
        <f>IFERROR(__xludf.DUMMYFUNCTION("""COMPUTED_VALUE"""),"")</f>
        <v/>
      </c>
      <c r="M817" s="7" t="s">
        <v>110</v>
      </c>
      <c r="O817" s="7" t="str">
        <f>IFERROR(__xludf.DUMMYFUNCTION("""COMPUTED_VALUE"""),"")</f>
        <v/>
      </c>
      <c r="Q817" s="7" t="s">
        <v>110</v>
      </c>
      <c r="R817" s="7" t="str">
        <f>IFERROR(__xludf.DUMMYFUNCTION("""COMPUTED_VALUE"""),"")</f>
        <v/>
      </c>
    </row>
    <row r="818">
      <c r="B818" s="8"/>
      <c r="G818" s="7" t="str">
        <f>IFERROR(__xludf.DUMMYFUNCTION("""COMPUTED_VALUE"""),"")</f>
        <v/>
      </c>
      <c r="K818" s="7" t="str">
        <f>IFERROR(__xludf.DUMMYFUNCTION("""COMPUTED_VALUE"""),"")</f>
        <v/>
      </c>
      <c r="M818" s="7" t="s">
        <v>110</v>
      </c>
      <c r="O818" s="7" t="str">
        <f>IFERROR(__xludf.DUMMYFUNCTION("""COMPUTED_VALUE"""),"")</f>
        <v/>
      </c>
      <c r="Q818" s="7" t="s">
        <v>110</v>
      </c>
      <c r="R818" s="7" t="str">
        <f>IFERROR(__xludf.DUMMYFUNCTION("""COMPUTED_VALUE"""),"")</f>
        <v/>
      </c>
    </row>
    <row r="819">
      <c r="B819" s="8"/>
      <c r="G819" s="7" t="str">
        <f>IFERROR(__xludf.DUMMYFUNCTION("""COMPUTED_VALUE"""),"")</f>
        <v/>
      </c>
      <c r="K819" s="7" t="str">
        <f>IFERROR(__xludf.DUMMYFUNCTION("""COMPUTED_VALUE"""),"")</f>
        <v/>
      </c>
      <c r="M819" s="7" t="s">
        <v>110</v>
      </c>
      <c r="O819" s="7" t="str">
        <f>IFERROR(__xludf.DUMMYFUNCTION("""COMPUTED_VALUE"""),"")</f>
        <v/>
      </c>
      <c r="Q819" s="7" t="s">
        <v>110</v>
      </c>
      <c r="R819" s="7" t="str">
        <f>IFERROR(__xludf.DUMMYFUNCTION("""COMPUTED_VALUE"""),"")</f>
        <v/>
      </c>
    </row>
    <row r="820">
      <c r="B820" s="8"/>
      <c r="G820" s="7" t="str">
        <f>IFERROR(__xludf.DUMMYFUNCTION("""COMPUTED_VALUE"""),"")</f>
        <v/>
      </c>
      <c r="K820" s="7" t="str">
        <f>IFERROR(__xludf.DUMMYFUNCTION("""COMPUTED_VALUE"""),"")</f>
        <v/>
      </c>
      <c r="M820" s="7" t="s">
        <v>110</v>
      </c>
      <c r="O820" s="7" t="str">
        <f>IFERROR(__xludf.DUMMYFUNCTION("""COMPUTED_VALUE"""),"")</f>
        <v/>
      </c>
      <c r="Q820" s="7" t="s">
        <v>110</v>
      </c>
      <c r="R820" s="7" t="str">
        <f>IFERROR(__xludf.DUMMYFUNCTION("""COMPUTED_VALUE"""),"")</f>
        <v/>
      </c>
    </row>
    <row r="821">
      <c r="B821" s="8"/>
      <c r="G821" s="7" t="str">
        <f>IFERROR(__xludf.DUMMYFUNCTION("""COMPUTED_VALUE"""),"")</f>
        <v/>
      </c>
      <c r="K821" s="7" t="str">
        <f>IFERROR(__xludf.DUMMYFUNCTION("""COMPUTED_VALUE"""),"")</f>
        <v/>
      </c>
      <c r="M821" s="7" t="s">
        <v>110</v>
      </c>
      <c r="O821" s="7" t="str">
        <f>IFERROR(__xludf.DUMMYFUNCTION("""COMPUTED_VALUE"""),"")</f>
        <v/>
      </c>
      <c r="Q821" s="7" t="s">
        <v>110</v>
      </c>
      <c r="R821" s="7" t="str">
        <f>IFERROR(__xludf.DUMMYFUNCTION("""COMPUTED_VALUE"""),"")</f>
        <v/>
      </c>
    </row>
    <row r="822">
      <c r="B822" s="8"/>
      <c r="G822" s="7" t="str">
        <f>IFERROR(__xludf.DUMMYFUNCTION("""COMPUTED_VALUE"""),"")</f>
        <v/>
      </c>
      <c r="K822" s="7" t="str">
        <f>IFERROR(__xludf.DUMMYFUNCTION("""COMPUTED_VALUE"""),"")</f>
        <v/>
      </c>
      <c r="M822" s="7" t="s">
        <v>110</v>
      </c>
      <c r="O822" s="7" t="str">
        <f>IFERROR(__xludf.DUMMYFUNCTION("""COMPUTED_VALUE"""),"")</f>
        <v/>
      </c>
      <c r="Q822" s="7" t="s">
        <v>110</v>
      </c>
      <c r="R822" s="7" t="str">
        <f>IFERROR(__xludf.DUMMYFUNCTION("""COMPUTED_VALUE"""),"")</f>
        <v/>
      </c>
    </row>
    <row r="823">
      <c r="B823" s="8"/>
      <c r="G823" s="7" t="str">
        <f>IFERROR(__xludf.DUMMYFUNCTION("""COMPUTED_VALUE"""),"")</f>
        <v/>
      </c>
      <c r="K823" s="7" t="str">
        <f>IFERROR(__xludf.DUMMYFUNCTION("""COMPUTED_VALUE"""),"")</f>
        <v/>
      </c>
      <c r="M823" s="7" t="s">
        <v>110</v>
      </c>
      <c r="O823" s="7" t="str">
        <f>IFERROR(__xludf.DUMMYFUNCTION("""COMPUTED_VALUE"""),"")</f>
        <v/>
      </c>
      <c r="Q823" s="7" t="s">
        <v>110</v>
      </c>
      <c r="R823" s="7" t="str">
        <f>IFERROR(__xludf.DUMMYFUNCTION("""COMPUTED_VALUE"""),"")</f>
        <v/>
      </c>
    </row>
    <row r="824">
      <c r="B824" s="8"/>
      <c r="G824" s="7" t="str">
        <f>IFERROR(__xludf.DUMMYFUNCTION("""COMPUTED_VALUE"""),"")</f>
        <v/>
      </c>
      <c r="K824" s="7" t="str">
        <f>IFERROR(__xludf.DUMMYFUNCTION("""COMPUTED_VALUE"""),"")</f>
        <v/>
      </c>
      <c r="M824" s="7" t="s">
        <v>110</v>
      </c>
      <c r="O824" s="7" t="str">
        <f>IFERROR(__xludf.DUMMYFUNCTION("""COMPUTED_VALUE"""),"")</f>
        <v/>
      </c>
      <c r="Q824" s="7" t="s">
        <v>110</v>
      </c>
      <c r="R824" s="7" t="str">
        <f>IFERROR(__xludf.DUMMYFUNCTION("""COMPUTED_VALUE"""),"")</f>
        <v/>
      </c>
    </row>
    <row r="825">
      <c r="B825" s="8"/>
      <c r="G825" s="7" t="str">
        <f>IFERROR(__xludf.DUMMYFUNCTION("""COMPUTED_VALUE"""),"")</f>
        <v/>
      </c>
      <c r="K825" s="7" t="str">
        <f>IFERROR(__xludf.DUMMYFUNCTION("""COMPUTED_VALUE"""),"")</f>
        <v/>
      </c>
      <c r="M825" s="7" t="s">
        <v>110</v>
      </c>
      <c r="O825" s="7" t="str">
        <f>IFERROR(__xludf.DUMMYFUNCTION("""COMPUTED_VALUE"""),"")</f>
        <v/>
      </c>
      <c r="Q825" s="7" t="s">
        <v>110</v>
      </c>
      <c r="R825" s="7" t="str">
        <f>IFERROR(__xludf.DUMMYFUNCTION("""COMPUTED_VALUE"""),"")</f>
        <v/>
      </c>
    </row>
    <row r="826">
      <c r="B826" s="8"/>
      <c r="G826" s="7" t="str">
        <f>IFERROR(__xludf.DUMMYFUNCTION("""COMPUTED_VALUE"""),"")</f>
        <v/>
      </c>
      <c r="K826" s="7" t="str">
        <f>IFERROR(__xludf.DUMMYFUNCTION("""COMPUTED_VALUE"""),"")</f>
        <v/>
      </c>
      <c r="M826" s="7" t="s">
        <v>110</v>
      </c>
      <c r="O826" s="7" t="str">
        <f>IFERROR(__xludf.DUMMYFUNCTION("""COMPUTED_VALUE"""),"")</f>
        <v/>
      </c>
      <c r="Q826" s="7" t="s">
        <v>110</v>
      </c>
      <c r="R826" s="7" t="str">
        <f>IFERROR(__xludf.DUMMYFUNCTION("""COMPUTED_VALUE"""),"")</f>
        <v/>
      </c>
    </row>
    <row r="827">
      <c r="B827" s="8"/>
      <c r="G827" s="7" t="str">
        <f>IFERROR(__xludf.DUMMYFUNCTION("""COMPUTED_VALUE"""),"")</f>
        <v/>
      </c>
      <c r="K827" s="7" t="str">
        <f>IFERROR(__xludf.DUMMYFUNCTION("""COMPUTED_VALUE"""),"")</f>
        <v/>
      </c>
      <c r="M827" s="7" t="s">
        <v>110</v>
      </c>
      <c r="O827" s="7" t="str">
        <f>IFERROR(__xludf.DUMMYFUNCTION("""COMPUTED_VALUE"""),"")</f>
        <v/>
      </c>
      <c r="Q827" s="7" t="s">
        <v>110</v>
      </c>
      <c r="R827" s="7" t="str">
        <f>IFERROR(__xludf.DUMMYFUNCTION("""COMPUTED_VALUE"""),"")</f>
        <v/>
      </c>
    </row>
    <row r="828">
      <c r="B828" s="8"/>
      <c r="G828" s="7" t="str">
        <f>IFERROR(__xludf.DUMMYFUNCTION("""COMPUTED_VALUE"""),"")</f>
        <v/>
      </c>
      <c r="K828" s="7" t="str">
        <f>IFERROR(__xludf.DUMMYFUNCTION("""COMPUTED_VALUE"""),"")</f>
        <v/>
      </c>
      <c r="M828" s="7" t="s">
        <v>110</v>
      </c>
      <c r="O828" s="7" t="str">
        <f>IFERROR(__xludf.DUMMYFUNCTION("""COMPUTED_VALUE"""),"")</f>
        <v/>
      </c>
      <c r="Q828" s="7" t="s">
        <v>110</v>
      </c>
      <c r="R828" s="7" t="str">
        <f>IFERROR(__xludf.DUMMYFUNCTION("""COMPUTED_VALUE"""),"")</f>
        <v/>
      </c>
    </row>
    <row r="829">
      <c r="B829" s="8"/>
      <c r="G829" s="7" t="str">
        <f>IFERROR(__xludf.DUMMYFUNCTION("""COMPUTED_VALUE"""),"")</f>
        <v/>
      </c>
      <c r="K829" s="7" t="str">
        <f>IFERROR(__xludf.DUMMYFUNCTION("""COMPUTED_VALUE"""),"")</f>
        <v/>
      </c>
      <c r="M829" s="7" t="s">
        <v>110</v>
      </c>
      <c r="O829" s="7" t="str">
        <f>IFERROR(__xludf.DUMMYFUNCTION("""COMPUTED_VALUE"""),"")</f>
        <v/>
      </c>
      <c r="Q829" s="7" t="s">
        <v>110</v>
      </c>
      <c r="R829" s="7" t="str">
        <f>IFERROR(__xludf.DUMMYFUNCTION("""COMPUTED_VALUE"""),"")</f>
        <v/>
      </c>
    </row>
    <row r="830">
      <c r="B830" s="8"/>
      <c r="G830" s="7" t="str">
        <f>IFERROR(__xludf.DUMMYFUNCTION("""COMPUTED_VALUE"""),"")</f>
        <v/>
      </c>
      <c r="K830" s="7" t="str">
        <f>IFERROR(__xludf.DUMMYFUNCTION("""COMPUTED_VALUE"""),"")</f>
        <v/>
      </c>
      <c r="M830" s="7" t="s">
        <v>110</v>
      </c>
      <c r="O830" s="7" t="str">
        <f>IFERROR(__xludf.DUMMYFUNCTION("""COMPUTED_VALUE"""),"")</f>
        <v/>
      </c>
      <c r="Q830" s="7" t="s">
        <v>110</v>
      </c>
      <c r="R830" s="7" t="str">
        <f>IFERROR(__xludf.DUMMYFUNCTION("""COMPUTED_VALUE"""),"")</f>
        <v/>
      </c>
    </row>
    <row r="831">
      <c r="B831" s="8"/>
      <c r="G831" s="7" t="str">
        <f>IFERROR(__xludf.DUMMYFUNCTION("""COMPUTED_VALUE"""),"")</f>
        <v/>
      </c>
      <c r="K831" s="7" t="str">
        <f>IFERROR(__xludf.DUMMYFUNCTION("""COMPUTED_VALUE"""),"")</f>
        <v/>
      </c>
      <c r="M831" s="7" t="s">
        <v>110</v>
      </c>
      <c r="O831" s="7" t="str">
        <f>IFERROR(__xludf.DUMMYFUNCTION("""COMPUTED_VALUE"""),"")</f>
        <v/>
      </c>
      <c r="Q831" s="7" t="s">
        <v>110</v>
      </c>
      <c r="R831" s="7" t="str">
        <f>IFERROR(__xludf.DUMMYFUNCTION("""COMPUTED_VALUE"""),"")</f>
        <v/>
      </c>
    </row>
    <row r="832">
      <c r="B832" s="8"/>
      <c r="G832" s="7" t="str">
        <f>IFERROR(__xludf.DUMMYFUNCTION("""COMPUTED_VALUE"""),"")</f>
        <v/>
      </c>
      <c r="K832" s="7" t="str">
        <f>IFERROR(__xludf.DUMMYFUNCTION("""COMPUTED_VALUE"""),"")</f>
        <v/>
      </c>
      <c r="M832" s="7" t="s">
        <v>110</v>
      </c>
      <c r="O832" s="7" t="str">
        <f>IFERROR(__xludf.DUMMYFUNCTION("""COMPUTED_VALUE"""),"")</f>
        <v/>
      </c>
      <c r="Q832" s="7" t="s">
        <v>110</v>
      </c>
      <c r="R832" s="7" t="str">
        <f>IFERROR(__xludf.DUMMYFUNCTION("""COMPUTED_VALUE"""),"")</f>
        <v/>
      </c>
    </row>
    <row r="833">
      <c r="B833" s="8"/>
      <c r="G833" s="7" t="str">
        <f>IFERROR(__xludf.DUMMYFUNCTION("""COMPUTED_VALUE"""),"")</f>
        <v/>
      </c>
      <c r="K833" s="7" t="str">
        <f>IFERROR(__xludf.DUMMYFUNCTION("""COMPUTED_VALUE"""),"")</f>
        <v/>
      </c>
      <c r="M833" s="7" t="s">
        <v>110</v>
      </c>
      <c r="O833" s="7" t="str">
        <f>IFERROR(__xludf.DUMMYFUNCTION("""COMPUTED_VALUE"""),"")</f>
        <v/>
      </c>
      <c r="Q833" s="7" t="s">
        <v>110</v>
      </c>
      <c r="R833" s="7" t="str">
        <f>IFERROR(__xludf.DUMMYFUNCTION("""COMPUTED_VALUE"""),"")</f>
        <v/>
      </c>
    </row>
    <row r="834">
      <c r="B834" s="8"/>
      <c r="G834" s="7" t="str">
        <f>IFERROR(__xludf.DUMMYFUNCTION("""COMPUTED_VALUE"""),"")</f>
        <v/>
      </c>
      <c r="K834" s="7" t="str">
        <f>IFERROR(__xludf.DUMMYFUNCTION("""COMPUTED_VALUE"""),"")</f>
        <v/>
      </c>
      <c r="M834" s="7" t="s">
        <v>110</v>
      </c>
      <c r="O834" s="7" t="str">
        <f>IFERROR(__xludf.DUMMYFUNCTION("""COMPUTED_VALUE"""),"")</f>
        <v/>
      </c>
      <c r="Q834" s="7" t="s">
        <v>110</v>
      </c>
      <c r="R834" s="7" t="str">
        <f>IFERROR(__xludf.DUMMYFUNCTION("""COMPUTED_VALUE"""),"")</f>
        <v/>
      </c>
    </row>
    <row r="835">
      <c r="B835" s="8"/>
      <c r="G835" s="7" t="str">
        <f>IFERROR(__xludf.DUMMYFUNCTION("""COMPUTED_VALUE"""),"")</f>
        <v/>
      </c>
      <c r="K835" s="7" t="str">
        <f>IFERROR(__xludf.DUMMYFUNCTION("""COMPUTED_VALUE"""),"")</f>
        <v/>
      </c>
      <c r="M835" s="7" t="s">
        <v>110</v>
      </c>
      <c r="O835" s="7" t="str">
        <f>IFERROR(__xludf.DUMMYFUNCTION("""COMPUTED_VALUE"""),"")</f>
        <v/>
      </c>
      <c r="Q835" s="7" t="s">
        <v>110</v>
      </c>
      <c r="R835" s="7" t="str">
        <f>IFERROR(__xludf.DUMMYFUNCTION("""COMPUTED_VALUE"""),"")</f>
        <v/>
      </c>
    </row>
    <row r="836">
      <c r="B836" s="8"/>
      <c r="G836" s="7" t="str">
        <f>IFERROR(__xludf.DUMMYFUNCTION("""COMPUTED_VALUE"""),"")</f>
        <v/>
      </c>
      <c r="K836" s="7" t="str">
        <f>IFERROR(__xludf.DUMMYFUNCTION("""COMPUTED_VALUE"""),"")</f>
        <v/>
      </c>
      <c r="M836" s="7" t="s">
        <v>110</v>
      </c>
      <c r="O836" s="7" t="str">
        <f>IFERROR(__xludf.DUMMYFUNCTION("""COMPUTED_VALUE"""),"")</f>
        <v/>
      </c>
      <c r="Q836" s="7" t="s">
        <v>110</v>
      </c>
      <c r="R836" s="7" t="str">
        <f>IFERROR(__xludf.DUMMYFUNCTION("""COMPUTED_VALUE"""),"")</f>
        <v/>
      </c>
    </row>
    <row r="837">
      <c r="B837" s="8"/>
      <c r="G837" s="7" t="str">
        <f>IFERROR(__xludf.DUMMYFUNCTION("""COMPUTED_VALUE"""),"")</f>
        <v/>
      </c>
      <c r="K837" s="7" t="str">
        <f>IFERROR(__xludf.DUMMYFUNCTION("""COMPUTED_VALUE"""),"")</f>
        <v/>
      </c>
      <c r="M837" s="7" t="s">
        <v>110</v>
      </c>
      <c r="O837" s="7" t="str">
        <f>IFERROR(__xludf.DUMMYFUNCTION("""COMPUTED_VALUE"""),"")</f>
        <v/>
      </c>
      <c r="Q837" s="7" t="s">
        <v>110</v>
      </c>
      <c r="R837" s="7" t="str">
        <f>IFERROR(__xludf.DUMMYFUNCTION("""COMPUTED_VALUE"""),"")</f>
        <v/>
      </c>
    </row>
    <row r="838">
      <c r="B838" s="8"/>
      <c r="G838" s="7" t="str">
        <f>IFERROR(__xludf.DUMMYFUNCTION("""COMPUTED_VALUE"""),"")</f>
        <v/>
      </c>
      <c r="K838" s="7" t="str">
        <f>IFERROR(__xludf.DUMMYFUNCTION("""COMPUTED_VALUE"""),"")</f>
        <v/>
      </c>
      <c r="M838" s="7" t="s">
        <v>110</v>
      </c>
      <c r="O838" s="7" t="str">
        <f>IFERROR(__xludf.DUMMYFUNCTION("""COMPUTED_VALUE"""),"")</f>
        <v/>
      </c>
      <c r="Q838" s="7" t="s">
        <v>110</v>
      </c>
      <c r="R838" s="7" t="str">
        <f>IFERROR(__xludf.DUMMYFUNCTION("""COMPUTED_VALUE"""),"")</f>
        <v/>
      </c>
    </row>
    <row r="839">
      <c r="B839" s="8"/>
      <c r="G839" s="7" t="str">
        <f>IFERROR(__xludf.DUMMYFUNCTION("""COMPUTED_VALUE"""),"")</f>
        <v/>
      </c>
      <c r="K839" s="7" t="str">
        <f>IFERROR(__xludf.DUMMYFUNCTION("""COMPUTED_VALUE"""),"")</f>
        <v/>
      </c>
      <c r="M839" s="7" t="s">
        <v>110</v>
      </c>
      <c r="O839" s="7" t="str">
        <f>IFERROR(__xludf.DUMMYFUNCTION("""COMPUTED_VALUE"""),"")</f>
        <v/>
      </c>
      <c r="Q839" s="7" t="s">
        <v>110</v>
      </c>
      <c r="R839" s="7" t="str">
        <f>IFERROR(__xludf.DUMMYFUNCTION("""COMPUTED_VALUE"""),"")</f>
        <v/>
      </c>
    </row>
    <row r="840">
      <c r="B840" s="8"/>
      <c r="G840" s="7" t="str">
        <f>IFERROR(__xludf.DUMMYFUNCTION("""COMPUTED_VALUE"""),"")</f>
        <v/>
      </c>
      <c r="K840" s="7" t="str">
        <f>IFERROR(__xludf.DUMMYFUNCTION("""COMPUTED_VALUE"""),"")</f>
        <v/>
      </c>
      <c r="M840" s="7" t="s">
        <v>110</v>
      </c>
      <c r="O840" s="7" t="str">
        <f>IFERROR(__xludf.DUMMYFUNCTION("""COMPUTED_VALUE"""),"")</f>
        <v/>
      </c>
      <c r="Q840" s="7" t="s">
        <v>110</v>
      </c>
      <c r="R840" s="7" t="str">
        <f>IFERROR(__xludf.DUMMYFUNCTION("""COMPUTED_VALUE"""),"")</f>
        <v/>
      </c>
    </row>
    <row r="841">
      <c r="B841" s="8"/>
      <c r="G841" s="7" t="str">
        <f>IFERROR(__xludf.DUMMYFUNCTION("""COMPUTED_VALUE"""),"")</f>
        <v/>
      </c>
      <c r="K841" s="7" t="str">
        <f>IFERROR(__xludf.DUMMYFUNCTION("""COMPUTED_VALUE"""),"")</f>
        <v/>
      </c>
      <c r="M841" s="7" t="s">
        <v>110</v>
      </c>
      <c r="O841" s="7" t="str">
        <f>IFERROR(__xludf.DUMMYFUNCTION("""COMPUTED_VALUE"""),"")</f>
        <v/>
      </c>
      <c r="Q841" s="7" t="s">
        <v>110</v>
      </c>
      <c r="R841" s="7" t="str">
        <f>IFERROR(__xludf.DUMMYFUNCTION("""COMPUTED_VALUE"""),"")</f>
        <v/>
      </c>
    </row>
    <row r="842">
      <c r="B842" s="8"/>
      <c r="G842" s="7" t="str">
        <f>IFERROR(__xludf.DUMMYFUNCTION("""COMPUTED_VALUE"""),"")</f>
        <v/>
      </c>
      <c r="K842" s="7" t="str">
        <f>IFERROR(__xludf.DUMMYFUNCTION("""COMPUTED_VALUE"""),"")</f>
        <v/>
      </c>
      <c r="M842" s="7" t="s">
        <v>110</v>
      </c>
      <c r="O842" s="7" t="str">
        <f>IFERROR(__xludf.DUMMYFUNCTION("""COMPUTED_VALUE"""),"")</f>
        <v/>
      </c>
      <c r="Q842" s="7" t="s">
        <v>110</v>
      </c>
      <c r="R842" s="7" t="str">
        <f>IFERROR(__xludf.DUMMYFUNCTION("""COMPUTED_VALUE"""),"")</f>
        <v/>
      </c>
    </row>
    <row r="843">
      <c r="B843" s="8"/>
      <c r="G843" s="7" t="str">
        <f>IFERROR(__xludf.DUMMYFUNCTION("""COMPUTED_VALUE"""),"")</f>
        <v/>
      </c>
      <c r="K843" s="7" t="str">
        <f>IFERROR(__xludf.DUMMYFUNCTION("""COMPUTED_VALUE"""),"")</f>
        <v/>
      </c>
      <c r="M843" s="7" t="s">
        <v>110</v>
      </c>
      <c r="O843" s="7" t="str">
        <f>IFERROR(__xludf.DUMMYFUNCTION("""COMPUTED_VALUE"""),"")</f>
        <v/>
      </c>
      <c r="Q843" s="7" t="s">
        <v>110</v>
      </c>
      <c r="R843" s="7" t="str">
        <f>IFERROR(__xludf.DUMMYFUNCTION("""COMPUTED_VALUE"""),"")</f>
        <v/>
      </c>
    </row>
    <row r="844">
      <c r="B844" s="8"/>
      <c r="G844" s="7" t="str">
        <f>IFERROR(__xludf.DUMMYFUNCTION("""COMPUTED_VALUE"""),"")</f>
        <v/>
      </c>
      <c r="K844" s="7" t="str">
        <f>IFERROR(__xludf.DUMMYFUNCTION("""COMPUTED_VALUE"""),"")</f>
        <v/>
      </c>
      <c r="M844" s="7" t="s">
        <v>110</v>
      </c>
      <c r="O844" s="7" t="str">
        <f>IFERROR(__xludf.DUMMYFUNCTION("""COMPUTED_VALUE"""),"")</f>
        <v/>
      </c>
      <c r="Q844" s="7" t="s">
        <v>110</v>
      </c>
      <c r="R844" s="7" t="str">
        <f>IFERROR(__xludf.DUMMYFUNCTION("""COMPUTED_VALUE"""),"")</f>
        <v/>
      </c>
    </row>
    <row r="845">
      <c r="B845" s="8"/>
      <c r="G845" s="7" t="str">
        <f>IFERROR(__xludf.DUMMYFUNCTION("""COMPUTED_VALUE"""),"")</f>
        <v/>
      </c>
      <c r="K845" s="7" t="str">
        <f>IFERROR(__xludf.DUMMYFUNCTION("""COMPUTED_VALUE"""),"")</f>
        <v/>
      </c>
      <c r="M845" s="7" t="s">
        <v>110</v>
      </c>
      <c r="O845" s="7" t="str">
        <f>IFERROR(__xludf.DUMMYFUNCTION("""COMPUTED_VALUE"""),"")</f>
        <v/>
      </c>
      <c r="Q845" s="7" t="s">
        <v>110</v>
      </c>
      <c r="R845" s="7" t="str">
        <f>IFERROR(__xludf.DUMMYFUNCTION("""COMPUTED_VALUE"""),"")</f>
        <v/>
      </c>
    </row>
    <row r="846">
      <c r="B846" s="8"/>
      <c r="G846" s="7" t="str">
        <f>IFERROR(__xludf.DUMMYFUNCTION("""COMPUTED_VALUE"""),"")</f>
        <v/>
      </c>
      <c r="K846" s="7" t="str">
        <f>IFERROR(__xludf.DUMMYFUNCTION("""COMPUTED_VALUE"""),"")</f>
        <v/>
      </c>
      <c r="M846" s="7" t="s">
        <v>110</v>
      </c>
      <c r="O846" s="7" t="str">
        <f>IFERROR(__xludf.DUMMYFUNCTION("""COMPUTED_VALUE"""),"")</f>
        <v/>
      </c>
      <c r="Q846" s="7" t="s">
        <v>110</v>
      </c>
      <c r="R846" s="7" t="str">
        <f>IFERROR(__xludf.DUMMYFUNCTION("""COMPUTED_VALUE"""),"")</f>
        <v/>
      </c>
    </row>
    <row r="847">
      <c r="B847" s="8"/>
      <c r="G847" s="7" t="str">
        <f>IFERROR(__xludf.DUMMYFUNCTION("""COMPUTED_VALUE"""),"")</f>
        <v/>
      </c>
      <c r="K847" s="7" t="str">
        <f>IFERROR(__xludf.DUMMYFUNCTION("""COMPUTED_VALUE"""),"")</f>
        <v/>
      </c>
      <c r="M847" s="7" t="s">
        <v>110</v>
      </c>
      <c r="O847" s="7" t="str">
        <f>IFERROR(__xludf.DUMMYFUNCTION("""COMPUTED_VALUE"""),"")</f>
        <v/>
      </c>
      <c r="Q847" s="7" t="s">
        <v>110</v>
      </c>
      <c r="R847" s="7" t="str">
        <f>IFERROR(__xludf.DUMMYFUNCTION("""COMPUTED_VALUE"""),"")</f>
        <v/>
      </c>
    </row>
    <row r="848">
      <c r="B848" s="8"/>
      <c r="G848" s="7" t="str">
        <f>IFERROR(__xludf.DUMMYFUNCTION("""COMPUTED_VALUE"""),"")</f>
        <v/>
      </c>
      <c r="K848" s="7" t="str">
        <f>IFERROR(__xludf.DUMMYFUNCTION("""COMPUTED_VALUE"""),"")</f>
        <v/>
      </c>
      <c r="M848" s="7" t="s">
        <v>110</v>
      </c>
      <c r="O848" s="7" t="str">
        <f>IFERROR(__xludf.DUMMYFUNCTION("""COMPUTED_VALUE"""),"")</f>
        <v/>
      </c>
      <c r="Q848" s="7" t="s">
        <v>110</v>
      </c>
      <c r="R848" s="7" t="str">
        <f>IFERROR(__xludf.DUMMYFUNCTION("""COMPUTED_VALUE"""),"")</f>
        <v/>
      </c>
    </row>
    <row r="849">
      <c r="B849" s="8"/>
      <c r="G849" s="7" t="str">
        <f>IFERROR(__xludf.DUMMYFUNCTION("""COMPUTED_VALUE"""),"")</f>
        <v/>
      </c>
      <c r="K849" s="7" t="str">
        <f>IFERROR(__xludf.DUMMYFUNCTION("""COMPUTED_VALUE"""),"")</f>
        <v/>
      </c>
      <c r="M849" s="7" t="s">
        <v>110</v>
      </c>
      <c r="O849" s="7" t="str">
        <f>IFERROR(__xludf.DUMMYFUNCTION("""COMPUTED_VALUE"""),"")</f>
        <v/>
      </c>
      <c r="Q849" s="7" t="s">
        <v>110</v>
      </c>
      <c r="R849" s="7" t="str">
        <f>IFERROR(__xludf.DUMMYFUNCTION("""COMPUTED_VALUE"""),"")</f>
        <v/>
      </c>
    </row>
    <row r="850">
      <c r="B850" s="8"/>
      <c r="G850" s="7" t="str">
        <f>IFERROR(__xludf.DUMMYFUNCTION("""COMPUTED_VALUE"""),"")</f>
        <v/>
      </c>
      <c r="K850" s="7" t="str">
        <f>IFERROR(__xludf.DUMMYFUNCTION("""COMPUTED_VALUE"""),"")</f>
        <v/>
      </c>
      <c r="M850" s="7" t="s">
        <v>110</v>
      </c>
      <c r="O850" s="7" t="str">
        <f>IFERROR(__xludf.DUMMYFUNCTION("""COMPUTED_VALUE"""),"")</f>
        <v/>
      </c>
      <c r="Q850" s="7" t="s">
        <v>110</v>
      </c>
      <c r="R850" s="7" t="str">
        <f>IFERROR(__xludf.DUMMYFUNCTION("""COMPUTED_VALUE"""),"")</f>
        <v/>
      </c>
    </row>
    <row r="851">
      <c r="B851" s="8"/>
      <c r="G851" s="7" t="str">
        <f>IFERROR(__xludf.DUMMYFUNCTION("""COMPUTED_VALUE"""),"")</f>
        <v/>
      </c>
      <c r="K851" s="7" t="str">
        <f>IFERROR(__xludf.DUMMYFUNCTION("""COMPUTED_VALUE"""),"")</f>
        <v/>
      </c>
      <c r="M851" s="7" t="s">
        <v>110</v>
      </c>
      <c r="O851" s="7" t="str">
        <f>IFERROR(__xludf.DUMMYFUNCTION("""COMPUTED_VALUE"""),"")</f>
        <v/>
      </c>
      <c r="Q851" s="7" t="s">
        <v>110</v>
      </c>
      <c r="R851" s="7" t="str">
        <f>IFERROR(__xludf.DUMMYFUNCTION("""COMPUTED_VALUE"""),"")</f>
        <v/>
      </c>
    </row>
    <row r="852">
      <c r="B852" s="8"/>
      <c r="G852" s="7" t="str">
        <f>IFERROR(__xludf.DUMMYFUNCTION("""COMPUTED_VALUE"""),"")</f>
        <v/>
      </c>
      <c r="K852" s="7" t="str">
        <f>IFERROR(__xludf.DUMMYFUNCTION("""COMPUTED_VALUE"""),"")</f>
        <v/>
      </c>
      <c r="M852" s="7" t="s">
        <v>110</v>
      </c>
      <c r="O852" s="7" t="str">
        <f>IFERROR(__xludf.DUMMYFUNCTION("""COMPUTED_VALUE"""),"")</f>
        <v/>
      </c>
      <c r="Q852" s="7" t="s">
        <v>110</v>
      </c>
      <c r="R852" s="7" t="str">
        <f>IFERROR(__xludf.DUMMYFUNCTION("""COMPUTED_VALUE"""),"")</f>
        <v/>
      </c>
    </row>
    <row r="853">
      <c r="B853" s="8"/>
      <c r="G853" s="7" t="str">
        <f>IFERROR(__xludf.DUMMYFUNCTION("""COMPUTED_VALUE"""),"")</f>
        <v/>
      </c>
      <c r="K853" s="7" t="str">
        <f>IFERROR(__xludf.DUMMYFUNCTION("""COMPUTED_VALUE"""),"")</f>
        <v/>
      </c>
      <c r="M853" s="7" t="s">
        <v>110</v>
      </c>
      <c r="O853" s="7" t="str">
        <f>IFERROR(__xludf.DUMMYFUNCTION("""COMPUTED_VALUE"""),"")</f>
        <v/>
      </c>
      <c r="Q853" s="7" t="s">
        <v>110</v>
      </c>
      <c r="R853" s="7" t="str">
        <f>IFERROR(__xludf.DUMMYFUNCTION("""COMPUTED_VALUE"""),"")</f>
        <v/>
      </c>
    </row>
    <row r="854">
      <c r="B854" s="8"/>
      <c r="G854" s="7" t="str">
        <f>IFERROR(__xludf.DUMMYFUNCTION("""COMPUTED_VALUE"""),"")</f>
        <v/>
      </c>
      <c r="K854" s="7" t="str">
        <f>IFERROR(__xludf.DUMMYFUNCTION("""COMPUTED_VALUE"""),"")</f>
        <v/>
      </c>
      <c r="M854" s="7" t="s">
        <v>110</v>
      </c>
      <c r="O854" s="7" t="str">
        <f>IFERROR(__xludf.DUMMYFUNCTION("""COMPUTED_VALUE"""),"")</f>
        <v/>
      </c>
      <c r="Q854" s="7" t="s">
        <v>110</v>
      </c>
      <c r="R854" s="7" t="str">
        <f>IFERROR(__xludf.DUMMYFUNCTION("""COMPUTED_VALUE"""),"")</f>
        <v/>
      </c>
    </row>
    <row r="855">
      <c r="B855" s="8"/>
      <c r="G855" s="7" t="str">
        <f>IFERROR(__xludf.DUMMYFUNCTION("""COMPUTED_VALUE"""),"")</f>
        <v/>
      </c>
      <c r="K855" s="7" t="str">
        <f>IFERROR(__xludf.DUMMYFUNCTION("""COMPUTED_VALUE"""),"")</f>
        <v/>
      </c>
      <c r="M855" s="7" t="s">
        <v>110</v>
      </c>
      <c r="O855" s="7" t="str">
        <f>IFERROR(__xludf.DUMMYFUNCTION("""COMPUTED_VALUE"""),"")</f>
        <v/>
      </c>
      <c r="Q855" s="7" t="s">
        <v>110</v>
      </c>
      <c r="R855" s="7" t="str">
        <f>IFERROR(__xludf.DUMMYFUNCTION("""COMPUTED_VALUE"""),"")</f>
        <v/>
      </c>
    </row>
    <row r="856">
      <c r="B856" s="8"/>
      <c r="G856" s="7" t="str">
        <f>IFERROR(__xludf.DUMMYFUNCTION("""COMPUTED_VALUE"""),"")</f>
        <v/>
      </c>
      <c r="K856" s="7" t="str">
        <f>IFERROR(__xludf.DUMMYFUNCTION("""COMPUTED_VALUE"""),"")</f>
        <v/>
      </c>
      <c r="M856" s="7" t="s">
        <v>110</v>
      </c>
      <c r="O856" s="7" t="str">
        <f>IFERROR(__xludf.DUMMYFUNCTION("""COMPUTED_VALUE"""),"")</f>
        <v/>
      </c>
      <c r="Q856" s="7" t="s">
        <v>110</v>
      </c>
      <c r="R856" s="7" t="str">
        <f>IFERROR(__xludf.DUMMYFUNCTION("""COMPUTED_VALUE"""),"")</f>
        <v/>
      </c>
    </row>
    <row r="857">
      <c r="B857" s="8"/>
      <c r="G857" s="7" t="str">
        <f>IFERROR(__xludf.DUMMYFUNCTION("""COMPUTED_VALUE"""),"")</f>
        <v/>
      </c>
      <c r="K857" s="7" t="str">
        <f>IFERROR(__xludf.DUMMYFUNCTION("""COMPUTED_VALUE"""),"")</f>
        <v/>
      </c>
      <c r="M857" s="7" t="s">
        <v>110</v>
      </c>
      <c r="O857" s="7" t="str">
        <f>IFERROR(__xludf.DUMMYFUNCTION("""COMPUTED_VALUE"""),"")</f>
        <v/>
      </c>
      <c r="Q857" s="7" t="s">
        <v>110</v>
      </c>
      <c r="R857" s="7" t="str">
        <f>IFERROR(__xludf.DUMMYFUNCTION("""COMPUTED_VALUE"""),"")</f>
        <v/>
      </c>
    </row>
    <row r="858">
      <c r="B858" s="8"/>
      <c r="G858" s="7" t="str">
        <f>IFERROR(__xludf.DUMMYFUNCTION("""COMPUTED_VALUE"""),"")</f>
        <v/>
      </c>
      <c r="K858" s="7" t="str">
        <f>IFERROR(__xludf.DUMMYFUNCTION("""COMPUTED_VALUE"""),"")</f>
        <v/>
      </c>
      <c r="M858" s="7" t="s">
        <v>110</v>
      </c>
      <c r="O858" s="7" t="str">
        <f>IFERROR(__xludf.DUMMYFUNCTION("""COMPUTED_VALUE"""),"")</f>
        <v/>
      </c>
      <c r="Q858" s="7" t="s">
        <v>110</v>
      </c>
      <c r="R858" s="7" t="str">
        <f>IFERROR(__xludf.DUMMYFUNCTION("""COMPUTED_VALUE"""),"")</f>
        <v/>
      </c>
    </row>
    <row r="859">
      <c r="B859" s="8"/>
      <c r="G859" s="7" t="str">
        <f>IFERROR(__xludf.DUMMYFUNCTION("""COMPUTED_VALUE"""),"")</f>
        <v/>
      </c>
      <c r="K859" s="7" t="str">
        <f>IFERROR(__xludf.DUMMYFUNCTION("""COMPUTED_VALUE"""),"")</f>
        <v/>
      </c>
      <c r="M859" s="7" t="s">
        <v>110</v>
      </c>
      <c r="O859" s="7" t="str">
        <f>IFERROR(__xludf.DUMMYFUNCTION("""COMPUTED_VALUE"""),"")</f>
        <v/>
      </c>
      <c r="Q859" s="7" t="s">
        <v>110</v>
      </c>
      <c r="R859" s="7" t="str">
        <f>IFERROR(__xludf.DUMMYFUNCTION("""COMPUTED_VALUE"""),"")</f>
        <v/>
      </c>
    </row>
    <row r="860">
      <c r="B860" s="8"/>
      <c r="G860" s="7" t="str">
        <f>IFERROR(__xludf.DUMMYFUNCTION("""COMPUTED_VALUE"""),"")</f>
        <v/>
      </c>
      <c r="K860" s="7" t="str">
        <f>IFERROR(__xludf.DUMMYFUNCTION("""COMPUTED_VALUE"""),"")</f>
        <v/>
      </c>
      <c r="M860" s="7" t="s">
        <v>110</v>
      </c>
      <c r="O860" s="7" t="str">
        <f>IFERROR(__xludf.DUMMYFUNCTION("""COMPUTED_VALUE"""),"")</f>
        <v/>
      </c>
      <c r="Q860" s="7" t="s">
        <v>110</v>
      </c>
      <c r="R860" s="7" t="str">
        <f>IFERROR(__xludf.DUMMYFUNCTION("""COMPUTED_VALUE"""),"")</f>
        <v/>
      </c>
    </row>
    <row r="861">
      <c r="B861" s="8"/>
      <c r="G861" s="7" t="str">
        <f>IFERROR(__xludf.DUMMYFUNCTION("""COMPUTED_VALUE"""),"")</f>
        <v/>
      </c>
      <c r="K861" s="7" t="str">
        <f>IFERROR(__xludf.DUMMYFUNCTION("""COMPUTED_VALUE"""),"")</f>
        <v/>
      </c>
      <c r="M861" s="7" t="s">
        <v>110</v>
      </c>
      <c r="O861" s="7" t="str">
        <f>IFERROR(__xludf.DUMMYFUNCTION("""COMPUTED_VALUE"""),"")</f>
        <v/>
      </c>
      <c r="Q861" s="7" t="s">
        <v>110</v>
      </c>
      <c r="R861" s="7" t="str">
        <f>IFERROR(__xludf.DUMMYFUNCTION("""COMPUTED_VALUE"""),"")</f>
        <v/>
      </c>
    </row>
    <row r="862">
      <c r="B862" s="8"/>
      <c r="G862" s="7" t="str">
        <f>IFERROR(__xludf.DUMMYFUNCTION("""COMPUTED_VALUE"""),"")</f>
        <v/>
      </c>
      <c r="K862" s="7" t="str">
        <f>IFERROR(__xludf.DUMMYFUNCTION("""COMPUTED_VALUE"""),"")</f>
        <v/>
      </c>
      <c r="M862" s="7" t="s">
        <v>110</v>
      </c>
      <c r="O862" s="7" t="str">
        <f>IFERROR(__xludf.DUMMYFUNCTION("""COMPUTED_VALUE"""),"")</f>
        <v/>
      </c>
      <c r="Q862" s="7" t="s">
        <v>110</v>
      </c>
      <c r="R862" s="7" t="str">
        <f>IFERROR(__xludf.DUMMYFUNCTION("""COMPUTED_VALUE"""),"")</f>
        <v/>
      </c>
    </row>
    <row r="863">
      <c r="B863" s="8"/>
      <c r="G863" s="7" t="str">
        <f>IFERROR(__xludf.DUMMYFUNCTION("""COMPUTED_VALUE"""),"")</f>
        <v/>
      </c>
      <c r="K863" s="7" t="str">
        <f>IFERROR(__xludf.DUMMYFUNCTION("""COMPUTED_VALUE"""),"")</f>
        <v/>
      </c>
      <c r="M863" s="7" t="s">
        <v>110</v>
      </c>
      <c r="O863" s="7" t="str">
        <f>IFERROR(__xludf.DUMMYFUNCTION("""COMPUTED_VALUE"""),"")</f>
        <v/>
      </c>
      <c r="Q863" s="7" t="s">
        <v>110</v>
      </c>
      <c r="R863" s="7" t="str">
        <f>IFERROR(__xludf.DUMMYFUNCTION("""COMPUTED_VALUE"""),"")</f>
        <v/>
      </c>
    </row>
    <row r="864">
      <c r="B864" s="8"/>
      <c r="G864" s="7" t="str">
        <f>IFERROR(__xludf.DUMMYFUNCTION("""COMPUTED_VALUE"""),"")</f>
        <v/>
      </c>
      <c r="K864" s="7" t="str">
        <f>IFERROR(__xludf.DUMMYFUNCTION("""COMPUTED_VALUE"""),"")</f>
        <v/>
      </c>
      <c r="M864" s="7" t="s">
        <v>110</v>
      </c>
      <c r="O864" s="7" t="str">
        <f>IFERROR(__xludf.DUMMYFUNCTION("""COMPUTED_VALUE"""),"")</f>
        <v/>
      </c>
      <c r="Q864" s="7" t="s">
        <v>110</v>
      </c>
      <c r="R864" s="7" t="str">
        <f>IFERROR(__xludf.DUMMYFUNCTION("""COMPUTED_VALUE"""),"")</f>
        <v/>
      </c>
    </row>
    <row r="865">
      <c r="B865" s="8"/>
      <c r="G865" s="7" t="str">
        <f>IFERROR(__xludf.DUMMYFUNCTION("""COMPUTED_VALUE"""),"")</f>
        <v/>
      </c>
      <c r="K865" s="7" t="str">
        <f>IFERROR(__xludf.DUMMYFUNCTION("""COMPUTED_VALUE"""),"")</f>
        <v/>
      </c>
      <c r="M865" s="7" t="s">
        <v>110</v>
      </c>
      <c r="O865" s="7" t="str">
        <f>IFERROR(__xludf.DUMMYFUNCTION("""COMPUTED_VALUE"""),"")</f>
        <v/>
      </c>
      <c r="Q865" s="7" t="s">
        <v>110</v>
      </c>
      <c r="R865" s="7" t="str">
        <f>IFERROR(__xludf.DUMMYFUNCTION("""COMPUTED_VALUE"""),"")</f>
        <v/>
      </c>
    </row>
    <row r="866">
      <c r="B866" s="8"/>
      <c r="G866" s="7" t="str">
        <f>IFERROR(__xludf.DUMMYFUNCTION("""COMPUTED_VALUE"""),"")</f>
        <v/>
      </c>
      <c r="K866" s="7" t="str">
        <f>IFERROR(__xludf.DUMMYFUNCTION("""COMPUTED_VALUE"""),"")</f>
        <v/>
      </c>
      <c r="M866" s="7" t="s">
        <v>110</v>
      </c>
      <c r="O866" s="7" t="str">
        <f>IFERROR(__xludf.DUMMYFUNCTION("""COMPUTED_VALUE"""),"")</f>
        <v/>
      </c>
      <c r="Q866" s="7" t="s">
        <v>110</v>
      </c>
      <c r="R866" s="7" t="str">
        <f>IFERROR(__xludf.DUMMYFUNCTION("""COMPUTED_VALUE"""),"")</f>
        <v/>
      </c>
    </row>
    <row r="867">
      <c r="B867" s="8"/>
      <c r="G867" s="7" t="str">
        <f>IFERROR(__xludf.DUMMYFUNCTION("""COMPUTED_VALUE"""),"")</f>
        <v/>
      </c>
      <c r="K867" s="7" t="str">
        <f>IFERROR(__xludf.DUMMYFUNCTION("""COMPUTED_VALUE"""),"")</f>
        <v/>
      </c>
      <c r="M867" s="7" t="s">
        <v>110</v>
      </c>
      <c r="O867" s="7" t="str">
        <f>IFERROR(__xludf.DUMMYFUNCTION("""COMPUTED_VALUE"""),"")</f>
        <v/>
      </c>
      <c r="Q867" s="7" t="s">
        <v>110</v>
      </c>
      <c r="R867" s="7" t="str">
        <f>IFERROR(__xludf.DUMMYFUNCTION("""COMPUTED_VALUE"""),"")</f>
        <v/>
      </c>
    </row>
    <row r="868">
      <c r="B868" s="8"/>
      <c r="G868" s="7" t="str">
        <f>IFERROR(__xludf.DUMMYFUNCTION("""COMPUTED_VALUE"""),"")</f>
        <v/>
      </c>
      <c r="K868" s="7" t="str">
        <f>IFERROR(__xludf.DUMMYFUNCTION("""COMPUTED_VALUE"""),"")</f>
        <v/>
      </c>
      <c r="M868" s="7" t="s">
        <v>110</v>
      </c>
      <c r="O868" s="7" t="str">
        <f>IFERROR(__xludf.DUMMYFUNCTION("""COMPUTED_VALUE"""),"")</f>
        <v/>
      </c>
      <c r="Q868" s="7" t="s">
        <v>110</v>
      </c>
      <c r="R868" s="7" t="str">
        <f>IFERROR(__xludf.DUMMYFUNCTION("""COMPUTED_VALUE"""),"")</f>
        <v/>
      </c>
    </row>
    <row r="869">
      <c r="B869" s="8"/>
      <c r="G869" s="7" t="str">
        <f>IFERROR(__xludf.DUMMYFUNCTION("""COMPUTED_VALUE"""),"")</f>
        <v/>
      </c>
      <c r="K869" s="7" t="str">
        <f>IFERROR(__xludf.DUMMYFUNCTION("""COMPUTED_VALUE"""),"")</f>
        <v/>
      </c>
      <c r="M869" s="7" t="s">
        <v>110</v>
      </c>
      <c r="O869" s="7" t="str">
        <f>IFERROR(__xludf.DUMMYFUNCTION("""COMPUTED_VALUE"""),"")</f>
        <v/>
      </c>
      <c r="Q869" s="7" t="s">
        <v>110</v>
      </c>
      <c r="R869" s="7" t="str">
        <f>IFERROR(__xludf.DUMMYFUNCTION("""COMPUTED_VALUE"""),"")</f>
        <v/>
      </c>
    </row>
    <row r="870">
      <c r="B870" s="8"/>
      <c r="G870" s="7" t="str">
        <f>IFERROR(__xludf.DUMMYFUNCTION("""COMPUTED_VALUE"""),"")</f>
        <v/>
      </c>
      <c r="K870" s="7" t="str">
        <f>IFERROR(__xludf.DUMMYFUNCTION("""COMPUTED_VALUE"""),"")</f>
        <v/>
      </c>
      <c r="M870" s="7" t="s">
        <v>110</v>
      </c>
      <c r="O870" s="7" t="str">
        <f>IFERROR(__xludf.DUMMYFUNCTION("""COMPUTED_VALUE"""),"")</f>
        <v/>
      </c>
      <c r="Q870" s="7" t="s">
        <v>110</v>
      </c>
      <c r="R870" s="7" t="str">
        <f>IFERROR(__xludf.DUMMYFUNCTION("""COMPUTED_VALUE"""),"")</f>
        <v/>
      </c>
    </row>
    <row r="871">
      <c r="B871" s="8"/>
      <c r="G871" s="7" t="str">
        <f>IFERROR(__xludf.DUMMYFUNCTION("""COMPUTED_VALUE"""),"")</f>
        <v/>
      </c>
      <c r="K871" s="7" t="str">
        <f>IFERROR(__xludf.DUMMYFUNCTION("""COMPUTED_VALUE"""),"")</f>
        <v/>
      </c>
      <c r="M871" s="7" t="s">
        <v>110</v>
      </c>
      <c r="O871" s="7" t="str">
        <f>IFERROR(__xludf.DUMMYFUNCTION("""COMPUTED_VALUE"""),"")</f>
        <v/>
      </c>
      <c r="Q871" s="7" t="s">
        <v>110</v>
      </c>
      <c r="R871" s="7" t="str">
        <f>IFERROR(__xludf.DUMMYFUNCTION("""COMPUTED_VALUE"""),"")</f>
        <v/>
      </c>
    </row>
    <row r="872">
      <c r="B872" s="8"/>
      <c r="G872" s="7" t="str">
        <f>IFERROR(__xludf.DUMMYFUNCTION("""COMPUTED_VALUE"""),"")</f>
        <v/>
      </c>
      <c r="K872" s="7" t="str">
        <f>IFERROR(__xludf.DUMMYFUNCTION("""COMPUTED_VALUE"""),"")</f>
        <v/>
      </c>
      <c r="M872" s="7" t="s">
        <v>110</v>
      </c>
      <c r="O872" s="7" t="str">
        <f>IFERROR(__xludf.DUMMYFUNCTION("""COMPUTED_VALUE"""),"")</f>
        <v/>
      </c>
      <c r="Q872" s="7" t="s">
        <v>110</v>
      </c>
      <c r="R872" s="7" t="str">
        <f>IFERROR(__xludf.DUMMYFUNCTION("""COMPUTED_VALUE"""),"")</f>
        <v/>
      </c>
    </row>
    <row r="873">
      <c r="B873" s="8"/>
      <c r="G873" s="7" t="str">
        <f>IFERROR(__xludf.DUMMYFUNCTION("""COMPUTED_VALUE"""),"")</f>
        <v/>
      </c>
      <c r="K873" s="7" t="str">
        <f>IFERROR(__xludf.DUMMYFUNCTION("""COMPUTED_VALUE"""),"")</f>
        <v/>
      </c>
      <c r="M873" s="7" t="s">
        <v>110</v>
      </c>
      <c r="O873" s="7" t="str">
        <f>IFERROR(__xludf.DUMMYFUNCTION("""COMPUTED_VALUE"""),"")</f>
        <v/>
      </c>
      <c r="Q873" s="7" t="s">
        <v>110</v>
      </c>
      <c r="R873" s="7" t="str">
        <f>IFERROR(__xludf.DUMMYFUNCTION("""COMPUTED_VALUE"""),"")</f>
        <v/>
      </c>
    </row>
    <row r="874">
      <c r="B874" s="8"/>
      <c r="G874" s="7" t="str">
        <f>IFERROR(__xludf.DUMMYFUNCTION("""COMPUTED_VALUE"""),"")</f>
        <v/>
      </c>
      <c r="K874" s="7" t="str">
        <f>IFERROR(__xludf.DUMMYFUNCTION("""COMPUTED_VALUE"""),"")</f>
        <v/>
      </c>
      <c r="M874" s="7" t="s">
        <v>110</v>
      </c>
      <c r="O874" s="7" t="str">
        <f>IFERROR(__xludf.DUMMYFUNCTION("""COMPUTED_VALUE"""),"")</f>
        <v/>
      </c>
      <c r="Q874" s="7" t="s">
        <v>110</v>
      </c>
      <c r="R874" s="7" t="str">
        <f>IFERROR(__xludf.DUMMYFUNCTION("""COMPUTED_VALUE"""),"")</f>
        <v/>
      </c>
    </row>
    <row r="875">
      <c r="B875" s="8"/>
      <c r="G875" s="7" t="str">
        <f>IFERROR(__xludf.DUMMYFUNCTION("""COMPUTED_VALUE"""),"")</f>
        <v/>
      </c>
      <c r="K875" s="7" t="str">
        <f>IFERROR(__xludf.DUMMYFUNCTION("""COMPUTED_VALUE"""),"")</f>
        <v/>
      </c>
      <c r="M875" s="7" t="s">
        <v>110</v>
      </c>
      <c r="O875" s="7" t="str">
        <f>IFERROR(__xludf.DUMMYFUNCTION("""COMPUTED_VALUE"""),"")</f>
        <v/>
      </c>
      <c r="Q875" s="7" t="s">
        <v>110</v>
      </c>
      <c r="R875" s="7" t="str">
        <f>IFERROR(__xludf.DUMMYFUNCTION("""COMPUTED_VALUE"""),"")</f>
        <v/>
      </c>
    </row>
    <row r="876">
      <c r="B876" s="8"/>
      <c r="G876" s="7" t="str">
        <f>IFERROR(__xludf.DUMMYFUNCTION("""COMPUTED_VALUE"""),"")</f>
        <v/>
      </c>
      <c r="K876" s="7" t="str">
        <f>IFERROR(__xludf.DUMMYFUNCTION("""COMPUTED_VALUE"""),"")</f>
        <v/>
      </c>
      <c r="M876" s="7" t="s">
        <v>110</v>
      </c>
      <c r="O876" s="7" t="str">
        <f>IFERROR(__xludf.DUMMYFUNCTION("""COMPUTED_VALUE"""),"")</f>
        <v/>
      </c>
      <c r="Q876" s="7" t="s">
        <v>110</v>
      </c>
      <c r="R876" s="7" t="str">
        <f>IFERROR(__xludf.DUMMYFUNCTION("""COMPUTED_VALUE"""),"")</f>
        <v/>
      </c>
    </row>
    <row r="877">
      <c r="B877" s="8"/>
      <c r="G877" s="7" t="str">
        <f>IFERROR(__xludf.DUMMYFUNCTION("""COMPUTED_VALUE"""),"")</f>
        <v/>
      </c>
      <c r="K877" s="7" t="str">
        <f>IFERROR(__xludf.DUMMYFUNCTION("""COMPUTED_VALUE"""),"")</f>
        <v/>
      </c>
      <c r="M877" s="7" t="s">
        <v>110</v>
      </c>
      <c r="O877" s="7" t="str">
        <f>IFERROR(__xludf.DUMMYFUNCTION("""COMPUTED_VALUE"""),"")</f>
        <v/>
      </c>
      <c r="Q877" s="7" t="s">
        <v>110</v>
      </c>
      <c r="R877" s="7" t="str">
        <f>IFERROR(__xludf.DUMMYFUNCTION("""COMPUTED_VALUE"""),"")</f>
        <v/>
      </c>
    </row>
    <row r="878">
      <c r="B878" s="8"/>
      <c r="G878" s="7" t="str">
        <f>IFERROR(__xludf.DUMMYFUNCTION("""COMPUTED_VALUE"""),"")</f>
        <v/>
      </c>
      <c r="K878" s="7" t="str">
        <f>IFERROR(__xludf.DUMMYFUNCTION("""COMPUTED_VALUE"""),"")</f>
        <v/>
      </c>
      <c r="M878" s="7" t="s">
        <v>110</v>
      </c>
      <c r="O878" s="7" t="str">
        <f>IFERROR(__xludf.DUMMYFUNCTION("""COMPUTED_VALUE"""),"")</f>
        <v/>
      </c>
      <c r="Q878" s="7" t="s">
        <v>110</v>
      </c>
      <c r="R878" s="7" t="str">
        <f>IFERROR(__xludf.DUMMYFUNCTION("""COMPUTED_VALUE"""),"")</f>
        <v/>
      </c>
    </row>
    <row r="879">
      <c r="B879" s="8"/>
      <c r="G879" s="7" t="str">
        <f>IFERROR(__xludf.DUMMYFUNCTION("""COMPUTED_VALUE"""),"")</f>
        <v/>
      </c>
      <c r="K879" s="7" t="str">
        <f>IFERROR(__xludf.DUMMYFUNCTION("""COMPUTED_VALUE"""),"")</f>
        <v/>
      </c>
      <c r="M879" s="7" t="s">
        <v>110</v>
      </c>
      <c r="O879" s="7" t="str">
        <f>IFERROR(__xludf.DUMMYFUNCTION("""COMPUTED_VALUE"""),"")</f>
        <v/>
      </c>
      <c r="Q879" s="7" t="s">
        <v>110</v>
      </c>
      <c r="R879" s="7" t="str">
        <f>IFERROR(__xludf.DUMMYFUNCTION("""COMPUTED_VALUE"""),"")</f>
        <v/>
      </c>
    </row>
    <row r="880">
      <c r="B880" s="8"/>
      <c r="G880" s="7" t="str">
        <f>IFERROR(__xludf.DUMMYFUNCTION("""COMPUTED_VALUE"""),"")</f>
        <v/>
      </c>
      <c r="K880" s="7" t="str">
        <f>IFERROR(__xludf.DUMMYFUNCTION("""COMPUTED_VALUE"""),"")</f>
        <v/>
      </c>
      <c r="M880" s="7" t="s">
        <v>110</v>
      </c>
      <c r="O880" s="7" t="str">
        <f>IFERROR(__xludf.DUMMYFUNCTION("""COMPUTED_VALUE"""),"")</f>
        <v/>
      </c>
      <c r="Q880" s="7" t="s">
        <v>110</v>
      </c>
      <c r="R880" s="7" t="str">
        <f>IFERROR(__xludf.DUMMYFUNCTION("""COMPUTED_VALUE"""),"")</f>
        <v/>
      </c>
    </row>
    <row r="881">
      <c r="B881" s="8"/>
      <c r="G881" s="7" t="str">
        <f>IFERROR(__xludf.DUMMYFUNCTION("""COMPUTED_VALUE"""),"")</f>
        <v/>
      </c>
      <c r="K881" s="7" t="str">
        <f>IFERROR(__xludf.DUMMYFUNCTION("""COMPUTED_VALUE"""),"")</f>
        <v/>
      </c>
      <c r="M881" s="7" t="s">
        <v>110</v>
      </c>
      <c r="O881" s="7" t="str">
        <f>IFERROR(__xludf.DUMMYFUNCTION("""COMPUTED_VALUE"""),"")</f>
        <v/>
      </c>
      <c r="Q881" s="7" t="s">
        <v>110</v>
      </c>
      <c r="R881" s="7" t="str">
        <f>IFERROR(__xludf.DUMMYFUNCTION("""COMPUTED_VALUE"""),"")</f>
        <v/>
      </c>
    </row>
    <row r="882">
      <c r="B882" s="8"/>
      <c r="G882" s="7" t="str">
        <f>IFERROR(__xludf.DUMMYFUNCTION("""COMPUTED_VALUE"""),"")</f>
        <v/>
      </c>
      <c r="K882" s="7" t="str">
        <f>IFERROR(__xludf.DUMMYFUNCTION("""COMPUTED_VALUE"""),"")</f>
        <v/>
      </c>
      <c r="M882" s="7" t="s">
        <v>110</v>
      </c>
      <c r="O882" s="7" t="str">
        <f>IFERROR(__xludf.DUMMYFUNCTION("""COMPUTED_VALUE"""),"")</f>
        <v/>
      </c>
      <c r="Q882" s="7" t="s">
        <v>110</v>
      </c>
      <c r="R882" s="7" t="str">
        <f>IFERROR(__xludf.DUMMYFUNCTION("""COMPUTED_VALUE"""),"")</f>
        <v/>
      </c>
    </row>
    <row r="883">
      <c r="B883" s="8"/>
      <c r="G883" s="7" t="str">
        <f>IFERROR(__xludf.DUMMYFUNCTION("""COMPUTED_VALUE"""),"")</f>
        <v/>
      </c>
      <c r="K883" s="7" t="str">
        <f>IFERROR(__xludf.DUMMYFUNCTION("""COMPUTED_VALUE"""),"")</f>
        <v/>
      </c>
      <c r="M883" s="7" t="s">
        <v>110</v>
      </c>
      <c r="O883" s="7" t="str">
        <f>IFERROR(__xludf.DUMMYFUNCTION("""COMPUTED_VALUE"""),"")</f>
        <v/>
      </c>
      <c r="Q883" s="7" t="s">
        <v>110</v>
      </c>
      <c r="R883" s="7" t="str">
        <f>IFERROR(__xludf.DUMMYFUNCTION("""COMPUTED_VALUE"""),"")</f>
        <v/>
      </c>
    </row>
    <row r="884">
      <c r="B884" s="8"/>
      <c r="G884" s="7" t="str">
        <f>IFERROR(__xludf.DUMMYFUNCTION("""COMPUTED_VALUE"""),"")</f>
        <v/>
      </c>
      <c r="K884" s="7" t="str">
        <f>IFERROR(__xludf.DUMMYFUNCTION("""COMPUTED_VALUE"""),"")</f>
        <v/>
      </c>
      <c r="M884" s="7" t="s">
        <v>110</v>
      </c>
      <c r="O884" s="7" t="str">
        <f>IFERROR(__xludf.DUMMYFUNCTION("""COMPUTED_VALUE"""),"")</f>
        <v/>
      </c>
      <c r="Q884" s="7" t="s">
        <v>110</v>
      </c>
      <c r="R884" s="7" t="str">
        <f>IFERROR(__xludf.DUMMYFUNCTION("""COMPUTED_VALUE"""),"")</f>
        <v/>
      </c>
    </row>
    <row r="885">
      <c r="B885" s="8"/>
      <c r="G885" s="7" t="str">
        <f>IFERROR(__xludf.DUMMYFUNCTION("""COMPUTED_VALUE"""),"")</f>
        <v/>
      </c>
      <c r="K885" s="7" t="str">
        <f>IFERROR(__xludf.DUMMYFUNCTION("""COMPUTED_VALUE"""),"")</f>
        <v/>
      </c>
      <c r="M885" s="7" t="s">
        <v>110</v>
      </c>
      <c r="O885" s="7" t="str">
        <f>IFERROR(__xludf.DUMMYFUNCTION("""COMPUTED_VALUE"""),"")</f>
        <v/>
      </c>
      <c r="Q885" s="7" t="s">
        <v>110</v>
      </c>
      <c r="R885" s="7" t="str">
        <f>IFERROR(__xludf.DUMMYFUNCTION("""COMPUTED_VALUE"""),"")</f>
        <v/>
      </c>
    </row>
    <row r="886">
      <c r="B886" s="8"/>
      <c r="G886" s="7" t="str">
        <f>IFERROR(__xludf.DUMMYFUNCTION("""COMPUTED_VALUE"""),"")</f>
        <v/>
      </c>
      <c r="K886" s="7" t="str">
        <f>IFERROR(__xludf.DUMMYFUNCTION("""COMPUTED_VALUE"""),"")</f>
        <v/>
      </c>
      <c r="M886" s="7" t="s">
        <v>110</v>
      </c>
      <c r="O886" s="7" t="str">
        <f>IFERROR(__xludf.DUMMYFUNCTION("""COMPUTED_VALUE"""),"")</f>
        <v/>
      </c>
      <c r="Q886" s="7" t="s">
        <v>110</v>
      </c>
      <c r="R886" s="7" t="str">
        <f>IFERROR(__xludf.DUMMYFUNCTION("""COMPUTED_VALUE"""),"")</f>
        <v/>
      </c>
    </row>
    <row r="887">
      <c r="B887" s="8"/>
      <c r="G887" s="7" t="str">
        <f>IFERROR(__xludf.DUMMYFUNCTION("""COMPUTED_VALUE"""),"")</f>
        <v/>
      </c>
      <c r="K887" s="7" t="str">
        <f>IFERROR(__xludf.DUMMYFUNCTION("""COMPUTED_VALUE"""),"")</f>
        <v/>
      </c>
      <c r="M887" s="7" t="s">
        <v>110</v>
      </c>
      <c r="O887" s="7" t="str">
        <f>IFERROR(__xludf.DUMMYFUNCTION("""COMPUTED_VALUE"""),"")</f>
        <v/>
      </c>
      <c r="Q887" s="7" t="s">
        <v>110</v>
      </c>
      <c r="R887" s="7" t="str">
        <f>IFERROR(__xludf.DUMMYFUNCTION("""COMPUTED_VALUE"""),"")</f>
        <v/>
      </c>
    </row>
    <row r="888">
      <c r="B888" s="8"/>
      <c r="G888" s="7" t="str">
        <f>IFERROR(__xludf.DUMMYFUNCTION("""COMPUTED_VALUE"""),"")</f>
        <v/>
      </c>
      <c r="K888" s="7" t="str">
        <f>IFERROR(__xludf.DUMMYFUNCTION("""COMPUTED_VALUE"""),"")</f>
        <v/>
      </c>
      <c r="M888" s="7" t="s">
        <v>110</v>
      </c>
      <c r="O888" s="7" t="str">
        <f>IFERROR(__xludf.DUMMYFUNCTION("""COMPUTED_VALUE"""),"")</f>
        <v/>
      </c>
      <c r="Q888" s="7" t="s">
        <v>110</v>
      </c>
      <c r="R888" s="7" t="str">
        <f>IFERROR(__xludf.DUMMYFUNCTION("""COMPUTED_VALUE"""),"")</f>
        <v/>
      </c>
    </row>
    <row r="889">
      <c r="B889" s="8"/>
      <c r="G889" s="7" t="str">
        <f>IFERROR(__xludf.DUMMYFUNCTION("""COMPUTED_VALUE"""),"")</f>
        <v/>
      </c>
      <c r="K889" s="7" t="str">
        <f>IFERROR(__xludf.DUMMYFUNCTION("""COMPUTED_VALUE"""),"")</f>
        <v/>
      </c>
      <c r="M889" s="7" t="s">
        <v>110</v>
      </c>
      <c r="O889" s="7" t="str">
        <f>IFERROR(__xludf.DUMMYFUNCTION("""COMPUTED_VALUE"""),"")</f>
        <v/>
      </c>
      <c r="Q889" s="7" t="s">
        <v>110</v>
      </c>
      <c r="R889" s="7" t="str">
        <f>IFERROR(__xludf.DUMMYFUNCTION("""COMPUTED_VALUE"""),"")</f>
        <v/>
      </c>
    </row>
    <row r="890">
      <c r="B890" s="8"/>
      <c r="G890" s="7" t="str">
        <f>IFERROR(__xludf.DUMMYFUNCTION("""COMPUTED_VALUE"""),"")</f>
        <v/>
      </c>
      <c r="K890" s="7" t="str">
        <f>IFERROR(__xludf.DUMMYFUNCTION("""COMPUTED_VALUE"""),"")</f>
        <v/>
      </c>
      <c r="M890" s="7" t="s">
        <v>110</v>
      </c>
      <c r="O890" s="7" t="str">
        <f>IFERROR(__xludf.DUMMYFUNCTION("""COMPUTED_VALUE"""),"")</f>
        <v/>
      </c>
      <c r="Q890" s="7" t="s">
        <v>110</v>
      </c>
      <c r="R890" s="7" t="str">
        <f>IFERROR(__xludf.DUMMYFUNCTION("""COMPUTED_VALUE"""),"")</f>
        <v/>
      </c>
    </row>
    <row r="891">
      <c r="B891" s="8"/>
      <c r="G891" s="7" t="str">
        <f>IFERROR(__xludf.DUMMYFUNCTION("""COMPUTED_VALUE"""),"")</f>
        <v/>
      </c>
      <c r="K891" s="7" t="str">
        <f>IFERROR(__xludf.DUMMYFUNCTION("""COMPUTED_VALUE"""),"")</f>
        <v/>
      </c>
      <c r="M891" s="7" t="s">
        <v>110</v>
      </c>
      <c r="O891" s="7" t="str">
        <f>IFERROR(__xludf.DUMMYFUNCTION("""COMPUTED_VALUE"""),"")</f>
        <v/>
      </c>
      <c r="Q891" s="7" t="s">
        <v>110</v>
      </c>
      <c r="R891" s="7" t="str">
        <f>IFERROR(__xludf.DUMMYFUNCTION("""COMPUTED_VALUE"""),"")</f>
        <v/>
      </c>
    </row>
    <row r="892">
      <c r="B892" s="8"/>
      <c r="G892" s="7" t="str">
        <f>IFERROR(__xludf.DUMMYFUNCTION("""COMPUTED_VALUE"""),"")</f>
        <v/>
      </c>
      <c r="K892" s="7" t="str">
        <f>IFERROR(__xludf.DUMMYFUNCTION("""COMPUTED_VALUE"""),"")</f>
        <v/>
      </c>
      <c r="M892" s="7" t="s">
        <v>110</v>
      </c>
      <c r="O892" s="7" t="str">
        <f>IFERROR(__xludf.DUMMYFUNCTION("""COMPUTED_VALUE"""),"")</f>
        <v/>
      </c>
      <c r="Q892" s="7" t="s">
        <v>110</v>
      </c>
      <c r="R892" s="7" t="str">
        <f>IFERROR(__xludf.DUMMYFUNCTION("""COMPUTED_VALUE"""),"")</f>
        <v/>
      </c>
    </row>
    <row r="893">
      <c r="B893" s="8"/>
      <c r="G893" s="7" t="str">
        <f>IFERROR(__xludf.DUMMYFUNCTION("""COMPUTED_VALUE"""),"")</f>
        <v/>
      </c>
      <c r="K893" s="7" t="str">
        <f>IFERROR(__xludf.DUMMYFUNCTION("""COMPUTED_VALUE"""),"")</f>
        <v/>
      </c>
      <c r="M893" s="7" t="s">
        <v>110</v>
      </c>
      <c r="O893" s="7" t="str">
        <f>IFERROR(__xludf.DUMMYFUNCTION("""COMPUTED_VALUE"""),"")</f>
        <v/>
      </c>
      <c r="Q893" s="7" t="s">
        <v>110</v>
      </c>
      <c r="R893" s="7" t="str">
        <f>IFERROR(__xludf.DUMMYFUNCTION("""COMPUTED_VALUE"""),"")</f>
        <v/>
      </c>
    </row>
    <row r="894">
      <c r="B894" s="8"/>
      <c r="G894" s="7" t="str">
        <f>IFERROR(__xludf.DUMMYFUNCTION("""COMPUTED_VALUE"""),"")</f>
        <v/>
      </c>
      <c r="K894" s="7" t="str">
        <f>IFERROR(__xludf.DUMMYFUNCTION("""COMPUTED_VALUE"""),"")</f>
        <v/>
      </c>
      <c r="M894" s="7" t="s">
        <v>110</v>
      </c>
      <c r="O894" s="7" t="str">
        <f>IFERROR(__xludf.DUMMYFUNCTION("""COMPUTED_VALUE"""),"")</f>
        <v/>
      </c>
      <c r="Q894" s="7" t="s">
        <v>110</v>
      </c>
      <c r="R894" s="7" t="str">
        <f>IFERROR(__xludf.DUMMYFUNCTION("""COMPUTED_VALUE"""),"")</f>
        <v/>
      </c>
    </row>
    <row r="895">
      <c r="B895" s="8"/>
      <c r="G895" s="7" t="str">
        <f>IFERROR(__xludf.DUMMYFUNCTION("""COMPUTED_VALUE"""),"")</f>
        <v/>
      </c>
      <c r="K895" s="7" t="str">
        <f>IFERROR(__xludf.DUMMYFUNCTION("""COMPUTED_VALUE"""),"")</f>
        <v/>
      </c>
      <c r="M895" s="7" t="s">
        <v>110</v>
      </c>
      <c r="O895" s="7" t="str">
        <f>IFERROR(__xludf.DUMMYFUNCTION("""COMPUTED_VALUE"""),"")</f>
        <v/>
      </c>
      <c r="Q895" s="7" t="s">
        <v>110</v>
      </c>
      <c r="R895" s="7" t="str">
        <f>IFERROR(__xludf.DUMMYFUNCTION("""COMPUTED_VALUE"""),"")</f>
        <v/>
      </c>
    </row>
    <row r="896">
      <c r="B896" s="8"/>
      <c r="G896" s="7" t="str">
        <f>IFERROR(__xludf.DUMMYFUNCTION("""COMPUTED_VALUE"""),"")</f>
        <v/>
      </c>
      <c r="K896" s="7" t="str">
        <f>IFERROR(__xludf.DUMMYFUNCTION("""COMPUTED_VALUE"""),"")</f>
        <v/>
      </c>
      <c r="M896" s="7" t="s">
        <v>110</v>
      </c>
      <c r="O896" s="7" t="str">
        <f>IFERROR(__xludf.DUMMYFUNCTION("""COMPUTED_VALUE"""),"")</f>
        <v/>
      </c>
      <c r="Q896" s="7" t="s">
        <v>110</v>
      </c>
      <c r="R896" s="7" t="str">
        <f>IFERROR(__xludf.DUMMYFUNCTION("""COMPUTED_VALUE"""),"")</f>
        <v/>
      </c>
    </row>
    <row r="897">
      <c r="B897" s="8"/>
      <c r="G897" s="7" t="str">
        <f>IFERROR(__xludf.DUMMYFUNCTION("""COMPUTED_VALUE"""),"")</f>
        <v/>
      </c>
      <c r="K897" s="7" t="str">
        <f>IFERROR(__xludf.DUMMYFUNCTION("""COMPUTED_VALUE"""),"")</f>
        <v/>
      </c>
      <c r="M897" s="7" t="s">
        <v>110</v>
      </c>
      <c r="O897" s="7" t="str">
        <f>IFERROR(__xludf.DUMMYFUNCTION("""COMPUTED_VALUE"""),"")</f>
        <v/>
      </c>
      <c r="Q897" s="7" t="s">
        <v>110</v>
      </c>
      <c r="R897" s="7" t="str">
        <f>IFERROR(__xludf.DUMMYFUNCTION("""COMPUTED_VALUE"""),"")</f>
        <v/>
      </c>
    </row>
    <row r="898">
      <c r="B898" s="8"/>
      <c r="G898" s="7" t="str">
        <f>IFERROR(__xludf.DUMMYFUNCTION("""COMPUTED_VALUE"""),"")</f>
        <v/>
      </c>
      <c r="K898" s="7" t="str">
        <f>IFERROR(__xludf.DUMMYFUNCTION("""COMPUTED_VALUE"""),"")</f>
        <v/>
      </c>
      <c r="M898" s="7" t="s">
        <v>110</v>
      </c>
      <c r="O898" s="7" t="str">
        <f>IFERROR(__xludf.DUMMYFUNCTION("""COMPUTED_VALUE"""),"")</f>
        <v/>
      </c>
      <c r="Q898" s="7" t="s">
        <v>110</v>
      </c>
      <c r="R898" s="7" t="str">
        <f>IFERROR(__xludf.DUMMYFUNCTION("""COMPUTED_VALUE"""),"")</f>
        <v/>
      </c>
    </row>
    <row r="899">
      <c r="B899" s="8"/>
      <c r="G899" s="7" t="str">
        <f>IFERROR(__xludf.DUMMYFUNCTION("""COMPUTED_VALUE"""),"")</f>
        <v/>
      </c>
      <c r="K899" s="7" t="str">
        <f>IFERROR(__xludf.DUMMYFUNCTION("""COMPUTED_VALUE"""),"")</f>
        <v/>
      </c>
      <c r="M899" s="7" t="s">
        <v>110</v>
      </c>
      <c r="O899" s="7" t="str">
        <f>IFERROR(__xludf.DUMMYFUNCTION("""COMPUTED_VALUE"""),"")</f>
        <v/>
      </c>
      <c r="Q899" s="7" t="s">
        <v>110</v>
      </c>
      <c r="R899" s="7" t="str">
        <f>IFERROR(__xludf.DUMMYFUNCTION("""COMPUTED_VALUE"""),"")</f>
        <v/>
      </c>
    </row>
    <row r="900">
      <c r="B900" s="8"/>
      <c r="G900" s="7" t="str">
        <f>IFERROR(__xludf.DUMMYFUNCTION("""COMPUTED_VALUE"""),"")</f>
        <v/>
      </c>
      <c r="K900" s="7" t="str">
        <f>IFERROR(__xludf.DUMMYFUNCTION("""COMPUTED_VALUE"""),"")</f>
        <v/>
      </c>
      <c r="M900" s="7" t="s">
        <v>110</v>
      </c>
      <c r="O900" s="7" t="str">
        <f>IFERROR(__xludf.DUMMYFUNCTION("""COMPUTED_VALUE"""),"")</f>
        <v/>
      </c>
      <c r="Q900" s="7" t="s">
        <v>110</v>
      </c>
      <c r="R900" s="7" t="str">
        <f>IFERROR(__xludf.DUMMYFUNCTION("""COMPUTED_VALUE"""),"")</f>
        <v/>
      </c>
    </row>
    <row r="901">
      <c r="B901" s="8"/>
      <c r="G901" s="7" t="str">
        <f>IFERROR(__xludf.DUMMYFUNCTION("""COMPUTED_VALUE"""),"")</f>
        <v/>
      </c>
      <c r="K901" s="7" t="str">
        <f>IFERROR(__xludf.DUMMYFUNCTION("""COMPUTED_VALUE"""),"")</f>
        <v/>
      </c>
      <c r="M901" s="7" t="s">
        <v>110</v>
      </c>
      <c r="O901" s="7" t="str">
        <f>IFERROR(__xludf.DUMMYFUNCTION("""COMPUTED_VALUE"""),"")</f>
        <v/>
      </c>
      <c r="Q901" s="7" t="s">
        <v>110</v>
      </c>
      <c r="R901" s="7" t="str">
        <f>IFERROR(__xludf.DUMMYFUNCTION("""COMPUTED_VALUE"""),"")</f>
        <v/>
      </c>
    </row>
    <row r="902">
      <c r="B902" s="8"/>
      <c r="G902" s="7" t="str">
        <f>IFERROR(__xludf.DUMMYFUNCTION("""COMPUTED_VALUE"""),"")</f>
        <v/>
      </c>
      <c r="K902" s="7" t="str">
        <f>IFERROR(__xludf.DUMMYFUNCTION("""COMPUTED_VALUE"""),"")</f>
        <v/>
      </c>
      <c r="M902" s="7" t="s">
        <v>110</v>
      </c>
      <c r="O902" s="7" t="str">
        <f>IFERROR(__xludf.DUMMYFUNCTION("""COMPUTED_VALUE"""),"")</f>
        <v/>
      </c>
      <c r="Q902" s="7" t="s">
        <v>110</v>
      </c>
      <c r="R902" s="7" t="str">
        <f>IFERROR(__xludf.DUMMYFUNCTION("""COMPUTED_VALUE"""),"")</f>
        <v/>
      </c>
    </row>
    <row r="903">
      <c r="B903" s="8"/>
      <c r="G903" s="7" t="str">
        <f>IFERROR(__xludf.DUMMYFUNCTION("""COMPUTED_VALUE"""),"")</f>
        <v/>
      </c>
      <c r="K903" s="7" t="str">
        <f>IFERROR(__xludf.DUMMYFUNCTION("""COMPUTED_VALUE"""),"")</f>
        <v/>
      </c>
      <c r="M903" s="7" t="s">
        <v>110</v>
      </c>
      <c r="O903" s="7" t="str">
        <f>IFERROR(__xludf.DUMMYFUNCTION("""COMPUTED_VALUE"""),"")</f>
        <v/>
      </c>
      <c r="Q903" s="7" t="s">
        <v>110</v>
      </c>
      <c r="R903" s="7" t="str">
        <f>IFERROR(__xludf.DUMMYFUNCTION("""COMPUTED_VALUE"""),"")</f>
        <v/>
      </c>
    </row>
    <row r="904">
      <c r="B904" s="8"/>
      <c r="G904" s="7" t="str">
        <f>IFERROR(__xludf.DUMMYFUNCTION("""COMPUTED_VALUE"""),"")</f>
        <v/>
      </c>
      <c r="K904" s="7" t="str">
        <f>IFERROR(__xludf.DUMMYFUNCTION("""COMPUTED_VALUE"""),"")</f>
        <v/>
      </c>
      <c r="M904" s="7" t="s">
        <v>110</v>
      </c>
      <c r="O904" s="7" t="str">
        <f>IFERROR(__xludf.DUMMYFUNCTION("""COMPUTED_VALUE"""),"")</f>
        <v/>
      </c>
      <c r="Q904" s="7" t="s">
        <v>110</v>
      </c>
      <c r="R904" s="7" t="str">
        <f>IFERROR(__xludf.DUMMYFUNCTION("""COMPUTED_VALUE"""),"")</f>
        <v/>
      </c>
    </row>
    <row r="905">
      <c r="B905" s="8"/>
      <c r="G905" s="7" t="str">
        <f>IFERROR(__xludf.DUMMYFUNCTION("""COMPUTED_VALUE"""),"")</f>
        <v/>
      </c>
      <c r="K905" s="7" t="str">
        <f>IFERROR(__xludf.DUMMYFUNCTION("""COMPUTED_VALUE"""),"")</f>
        <v/>
      </c>
      <c r="M905" s="7" t="s">
        <v>110</v>
      </c>
      <c r="O905" s="7" t="str">
        <f>IFERROR(__xludf.DUMMYFUNCTION("""COMPUTED_VALUE"""),"")</f>
        <v/>
      </c>
      <c r="Q905" s="7" t="s">
        <v>110</v>
      </c>
      <c r="R905" s="7" t="str">
        <f>IFERROR(__xludf.DUMMYFUNCTION("""COMPUTED_VALUE"""),"")</f>
        <v/>
      </c>
    </row>
    <row r="906">
      <c r="B906" s="8"/>
      <c r="G906" s="7" t="str">
        <f>IFERROR(__xludf.DUMMYFUNCTION("""COMPUTED_VALUE"""),"")</f>
        <v/>
      </c>
      <c r="K906" s="7" t="str">
        <f>IFERROR(__xludf.DUMMYFUNCTION("""COMPUTED_VALUE"""),"")</f>
        <v/>
      </c>
      <c r="M906" s="7" t="s">
        <v>110</v>
      </c>
      <c r="O906" s="7" t="str">
        <f>IFERROR(__xludf.DUMMYFUNCTION("""COMPUTED_VALUE"""),"")</f>
        <v/>
      </c>
      <c r="Q906" s="7" t="s">
        <v>110</v>
      </c>
      <c r="R906" s="7" t="str">
        <f>IFERROR(__xludf.DUMMYFUNCTION("""COMPUTED_VALUE"""),"")</f>
        <v/>
      </c>
    </row>
    <row r="907">
      <c r="B907" s="8"/>
      <c r="G907" s="7" t="str">
        <f>IFERROR(__xludf.DUMMYFUNCTION("""COMPUTED_VALUE"""),"")</f>
        <v/>
      </c>
      <c r="K907" s="7" t="str">
        <f>IFERROR(__xludf.DUMMYFUNCTION("""COMPUTED_VALUE"""),"")</f>
        <v/>
      </c>
      <c r="M907" s="7" t="s">
        <v>110</v>
      </c>
      <c r="O907" s="7" t="str">
        <f>IFERROR(__xludf.DUMMYFUNCTION("""COMPUTED_VALUE"""),"")</f>
        <v/>
      </c>
      <c r="Q907" s="7" t="s">
        <v>110</v>
      </c>
      <c r="R907" s="7" t="str">
        <f>IFERROR(__xludf.DUMMYFUNCTION("""COMPUTED_VALUE"""),"")</f>
        <v/>
      </c>
    </row>
    <row r="908">
      <c r="B908" s="8"/>
      <c r="G908" s="7" t="str">
        <f>IFERROR(__xludf.DUMMYFUNCTION("""COMPUTED_VALUE"""),"")</f>
        <v/>
      </c>
      <c r="K908" s="7" t="str">
        <f>IFERROR(__xludf.DUMMYFUNCTION("""COMPUTED_VALUE"""),"")</f>
        <v/>
      </c>
      <c r="M908" s="7" t="s">
        <v>110</v>
      </c>
      <c r="O908" s="7" t="str">
        <f>IFERROR(__xludf.DUMMYFUNCTION("""COMPUTED_VALUE"""),"")</f>
        <v/>
      </c>
      <c r="Q908" s="7" t="s">
        <v>110</v>
      </c>
      <c r="R908" s="7" t="str">
        <f>IFERROR(__xludf.DUMMYFUNCTION("""COMPUTED_VALUE"""),"")</f>
        <v/>
      </c>
    </row>
    <row r="909">
      <c r="B909" s="8"/>
      <c r="G909" s="7" t="str">
        <f>IFERROR(__xludf.DUMMYFUNCTION("""COMPUTED_VALUE"""),"")</f>
        <v/>
      </c>
      <c r="K909" s="7" t="str">
        <f>IFERROR(__xludf.DUMMYFUNCTION("""COMPUTED_VALUE"""),"")</f>
        <v/>
      </c>
      <c r="M909" s="7" t="s">
        <v>110</v>
      </c>
      <c r="O909" s="7" t="str">
        <f>IFERROR(__xludf.DUMMYFUNCTION("""COMPUTED_VALUE"""),"")</f>
        <v/>
      </c>
      <c r="Q909" s="7" t="s">
        <v>110</v>
      </c>
      <c r="R909" s="7" t="str">
        <f>IFERROR(__xludf.DUMMYFUNCTION("""COMPUTED_VALUE"""),"")</f>
        <v/>
      </c>
    </row>
    <row r="910">
      <c r="B910" s="8"/>
      <c r="G910" s="7" t="str">
        <f>IFERROR(__xludf.DUMMYFUNCTION("""COMPUTED_VALUE"""),"")</f>
        <v/>
      </c>
      <c r="K910" s="7" t="str">
        <f>IFERROR(__xludf.DUMMYFUNCTION("""COMPUTED_VALUE"""),"")</f>
        <v/>
      </c>
      <c r="M910" s="7" t="s">
        <v>110</v>
      </c>
      <c r="O910" s="7" t="str">
        <f>IFERROR(__xludf.DUMMYFUNCTION("""COMPUTED_VALUE"""),"")</f>
        <v/>
      </c>
      <c r="Q910" s="7" t="s">
        <v>110</v>
      </c>
      <c r="R910" s="7" t="str">
        <f>IFERROR(__xludf.DUMMYFUNCTION("""COMPUTED_VALUE"""),"")</f>
        <v/>
      </c>
    </row>
    <row r="911">
      <c r="B911" s="8"/>
      <c r="G911" s="7" t="str">
        <f>IFERROR(__xludf.DUMMYFUNCTION("""COMPUTED_VALUE"""),"")</f>
        <v/>
      </c>
      <c r="K911" s="7" t="str">
        <f>IFERROR(__xludf.DUMMYFUNCTION("""COMPUTED_VALUE"""),"")</f>
        <v/>
      </c>
      <c r="M911" s="7" t="s">
        <v>110</v>
      </c>
      <c r="O911" s="7" t="str">
        <f>IFERROR(__xludf.DUMMYFUNCTION("""COMPUTED_VALUE"""),"")</f>
        <v/>
      </c>
      <c r="Q911" s="7" t="s">
        <v>110</v>
      </c>
      <c r="R911" s="7" t="str">
        <f>IFERROR(__xludf.DUMMYFUNCTION("""COMPUTED_VALUE"""),"")</f>
        <v/>
      </c>
    </row>
    <row r="912">
      <c r="B912" s="8"/>
      <c r="G912" s="7" t="str">
        <f>IFERROR(__xludf.DUMMYFUNCTION("""COMPUTED_VALUE"""),"")</f>
        <v/>
      </c>
      <c r="K912" s="7" t="str">
        <f>IFERROR(__xludf.DUMMYFUNCTION("""COMPUTED_VALUE"""),"")</f>
        <v/>
      </c>
      <c r="M912" s="7" t="s">
        <v>110</v>
      </c>
      <c r="O912" s="7" t="str">
        <f>IFERROR(__xludf.DUMMYFUNCTION("""COMPUTED_VALUE"""),"")</f>
        <v/>
      </c>
      <c r="Q912" s="7" t="s">
        <v>110</v>
      </c>
      <c r="R912" s="7" t="str">
        <f>IFERROR(__xludf.DUMMYFUNCTION("""COMPUTED_VALUE"""),"")</f>
        <v/>
      </c>
    </row>
    <row r="913">
      <c r="B913" s="8"/>
      <c r="G913" s="7" t="str">
        <f>IFERROR(__xludf.DUMMYFUNCTION("""COMPUTED_VALUE"""),"")</f>
        <v/>
      </c>
      <c r="K913" s="7" t="str">
        <f>IFERROR(__xludf.DUMMYFUNCTION("""COMPUTED_VALUE"""),"")</f>
        <v/>
      </c>
      <c r="M913" s="7" t="s">
        <v>110</v>
      </c>
      <c r="O913" s="7" t="str">
        <f>IFERROR(__xludf.DUMMYFUNCTION("""COMPUTED_VALUE"""),"")</f>
        <v/>
      </c>
      <c r="Q913" s="7" t="s">
        <v>110</v>
      </c>
      <c r="R913" s="7" t="str">
        <f>IFERROR(__xludf.DUMMYFUNCTION("""COMPUTED_VALUE"""),"")</f>
        <v/>
      </c>
    </row>
    <row r="914">
      <c r="B914" s="8"/>
      <c r="G914" s="7" t="str">
        <f>IFERROR(__xludf.DUMMYFUNCTION("""COMPUTED_VALUE"""),"")</f>
        <v/>
      </c>
      <c r="K914" s="7" t="str">
        <f>IFERROR(__xludf.DUMMYFUNCTION("""COMPUTED_VALUE"""),"")</f>
        <v/>
      </c>
      <c r="M914" s="7" t="s">
        <v>110</v>
      </c>
      <c r="O914" s="7" t="str">
        <f>IFERROR(__xludf.DUMMYFUNCTION("""COMPUTED_VALUE"""),"")</f>
        <v/>
      </c>
      <c r="Q914" s="7" t="s">
        <v>110</v>
      </c>
      <c r="R914" s="7" t="str">
        <f>IFERROR(__xludf.DUMMYFUNCTION("""COMPUTED_VALUE"""),"")</f>
        <v/>
      </c>
    </row>
    <row r="915">
      <c r="B915" s="8"/>
      <c r="G915" s="7" t="str">
        <f>IFERROR(__xludf.DUMMYFUNCTION("""COMPUTED_VALUE"""),"")</f>
        <v/>
      </c>
      <c r="K915" s="7" t="str">
        <f>IFERROR(__xludf.DUMMYFUNCTION("""COMPUTED_VALUE"""),"")</f>
        <v/>
      </c>
      <c r="M915" s="7" t="s">
        <v>110</v>
      </c>
      <c r="O915" s="7" t="str">
        <f>IFERROR(__xludf.DUMMYFUNCTION("""COMPUTED_VALUE"""),"")</f>
        <v/>
      </c>
      <c r="Q915" s="7" t="s">
        <v>110</v>
      </c>
      <c r="R915" s="7" t="str">
        <f>IFERROR(__xludf.DUMMYFUNCTION("""COMPUTED_VALUE"""),"")</f>
        <v/>
      </c>
    </row>
    <row r="916">
      <c r="B916" s="8"/>
      <c r="G916" s="7" t="str">
        <f>IFERROR(__xludf.DUMMYFUNCTION("""COMPUTED_VALUE"""),"")</f>
        <v/>
      </c>
      <c r="K916" s="7" t="str">
        <f>IFERROR(__xludf.DUMMYFUNCTION("""COMPUTED_VALUE"""),"")</f>
        <v/>
      </c>
      <c r="M916" s="7" t="s">
        <v>110</v>
      </c>
      <c r="O916" s="7" t="str">
        <f>IFERROR(__xludf.DUMMYFUNCTION("""COMPUTED_VALUE"""),"")</f>
        <v/>
      </c>
      <c r="Q916" s="7" t="s">
        <v>110</v>
      </c>
      <c r="R916" s="7" t="str">
        <f>IFERROR(__xludf.DUMMYFUNCTION("""COMPUTED_VALUE"""),"")</f>
        <v/>
      </c>
    </row>
    <row r="917">
      <c r="B917" s="8"/>
      <c r="G917" s="7" t="str">
        <f>IFERROR(__xludf.DUMMYFUNCTION("""COMPUTED_VALUE"""),"")</f>
        <v/>
      </c>
      <c r="K917" s="7" t="str">
        <f>IFERROR(__xludf.DUMMYFUNCTION("""COMPUTED_VALUE"""),"")</f>
        <v/>
      </c>
      <c r="M917" s="7" t="s">
        <v>110</v>
      </c>
      <c r="O917" s="7" t="str">
        <f>IFERROR(__xludf.DUMMYFUNCTION("""COMPUTED_VALUE"""),"")</f>
        <v/>
      </c>
      <c r="Q917" s="7" t="s">
        <v>110</v>
      </c>
      <c r="R917" s="7" t="str">
        <f>IFERROR(__xludf.DUMMYFUNCTION("""COMPUTED_VALUE"""),"")</f>
        <v/>
      </c>
    </row>
    <row r="918">
      <c r="B918" s="8"/>
      <c r="G918" s="7" t="str">
        <f>IFERROR(__xludf.DUMMYFUNCTION("""COMPUTED_VALUE"""),"")</f>
        <v/>
      </c>
      <c r="K918" s="7" t="str">
        <f>IFERROR(__xludf.DUMMYFUNCTION("""COMPUTED_VALUE"""),"")</f>
        <v/>
      </c>
      <c r="M918" s="7" t="s">
        <v>110</v>
      </c>
      <c r="O918" s="7" t="str">
        <f>IFERROR(__xludf.DUMMYFUNCTION("""COMPUTED_VALUE"""),"")</f>
        <v/>
      </c>
      <c r="Q918" s="7" t="s">
        <v>110</v>
      </c>
      <c r="R918" s="7" t="str">
        <f>IFERROR(__xludf.DUMMYFUNCTION("""COMPUTED_VALUE"""),"")</f>
        <v/>
      </c>
    </row>
    <row r="919">
      <c r="B919" s="8"/>
      <c r="G919" s="7" t="str">
        <f>IFERROR(__xludf.DUMMYFUNCTION("""COMPUTED_VALUE"""),"")</f>
        <v/>
      </c>
      <c r="K919" s="7" t="str">
        <f>IFERROR(__xludf.DUMMYFUNCTION("""COMPUTED_VALUE"""),"")</f>
        <v/>
      </c>
      <c r="M919" s="7" t="s">
        <v>110</v>
      </c>
      <c r="O919" s="7" t="str">
        <f>IFERROR(__xludf.DUMMYFUNCTION("""COMPUTED_VALUE"""),"")</f>
        <v/>
      </c>
      <c r="Q919" s="7" t="s">
        <v>110</v>
      </c>
      <c r="R919" s="7" t="str">
        <f>IFERROR(__xludf.DUMMYFUNCTION("""COMPUTED_VALUE"""),"")</f>
        <v/>
      </c>
    </row>
    <row r="920">
      <c r="B920" s="8"/>
      <c r="G920" s="7" t="str">
        <f>IFERROR(__xludf.DUMMYFUNCTION("""COMPUTED_VALUE"""),"")</f>
        <v/>
      </c>
      <c r="K920" s="7" t="str">
        <f>IFERROR(__xludf.DUMMYFUNCTION("""COMPUTED_VALUE"""),"")</f>
        <v/>
      </c>
      <c r="M920" s="7" t="s">
        <v>110</v>
      </c>
      <c r="O920" s="7" t="str">
        <f>IFERROR(__xludf.DUMMYFUNCTION("""COMPUTED_VALUE"""),"")</f>
        <v/>
      </c>
      <c r="Q920" s="7" t="s">
        <v>110</v>
      </c>
      <c r="R920" s="7" t="str">
        <f>IFERROR(__xludf.DUMMYFUNCTION("""COMPUTED_VALUE"""),"")</f>
        <v/>
      </c>
    </row>
    <row r="921">
      <c r="B921" s="8"/>
      <c r="G921" s="7" t="str">
        <f>IFERROR(__xludf.DUMMYFUNCTION("""COMPUTED_VALUE"""),"")</f>
        <v/>
      </c>
      <c r="K921" s="7" t="str">
        <f>IFERROR(__xludf.DUMMYFUNCTION("""COMPUTED_VALUE"""),"")</f>
        <v/>
      </c>
      <c r="M921" s="7" t="s">
        <v>110</v>
      </c>
      <c r="O921" s="7" t="str">
        <f>IFERROR(__xludf.DUMMYFUNCTION("""COMPUTED_VALUE"""),"")</f>
        <v/>
      </c>
      <c r="Q921" s="7" t="s">
        <v>110</v>
      </c>
      <c r="R921" s="7" t="str">
        <f>IFERROR(__xludf.DUMMYFUNCTION("""COMPUTED_VALUE"""),"")</f>
        <v/>
      </c>
    </row>
    <row r="922">
      <c r="B922" s="8"/>
      <c r="G922" s="7" t="str">
        <f>IFERROR(__xludf.DUMMYFUNCTION("""COMPUTED_VALUE"""),"")</f>
        <v/>
      </c>
      <c r="K922" s="7" t="str">
        <f>IFERROR(__xludf.DUMMYFUNCTION("""COMPUTED_VALUE"""),"")</f>
        <v/>
      </c>
      <c r="M922" s="7" t="s">
        <v>110</v>
      </c>
      <c r="O922" s="7" t="str">
        <f>IFERROR(__xludf.DUMMYFUNCTION("""COMPUTED_VALUE"""),"")</f>
        <v/>
      </c>
      <c r="Q922" s="7" t="s">
        <v>110</v>
      </c>
      <c r="R922" s="7" t="str">
        <f>IFERROR(__xludf.DUMMYFUNCTION("""COMPUTED_VALUE"""),"")</f>
        <v/>
      </c>
    </row>
    <row r="923">
      <c r="B923" s="8"/>
      <c r="G923" s="7" t="str">
        <f>IFERROR(__xludf.DUMMYFUNCTION("""COMPUTED_VALUE"""),"")</f>
        <v/>
      </c>
      <c r="K923" s="7" t="str">
        <f>IFERROR(__xludf.DUMMYFUNCTION("""COMPUTED_VALUE"""),"")</f>
        <v/>
      </c>
      <c r="M923" s="7" t="s">
        <v>110</v>
      </c>
      <c r="O923" s="7" t="str">
        <f>IFERROR(__xludf.DUMMYFUNCTION("""COMPUTED_VALUE"""),"")</f>
        <v/>
      </c>
      <c r="Q923" s="7" t="s">
        <v>110</v>
      </c>
      <c r="R923" s="7" t="str">
        <f>IFERROR(__xludf.DUMMYFUNCTION("""COMPUTED_VALUE"""),"")</f>
        <v/>
      </c>
    </row>
    <row r="924">
      <c r="B924" s="8"/>
      <c r="G924" s="7" t="str">
        <f>IFERROR(__xludf.DUMMYFUNCTION("""COMPUTED_VALUE"""),"")</f>
        <v/>
      </c>
      <c r="K924" s="7" t="str">
        <f>IFERROR(__xludf.DUMMYFUNCTION("""COMPUTED_VALUE"""),"")</f>
        <v/>
      </c>
      <c r="M924" s="7" t="s">
        <v>110</v>
      </c>
      <c r="O924" s="7" t="str">
        <f>IFERROR(__xludf.DUMMYFUNCTION("""COMPUTED_VALUE"""),"")</f>
        <v/>
      </c>
      <c r="Q924" s="7" t="s">
        <v>110</v>
      </c>
      <c r="R924" s="7" t="str">
        <f>IFERROR(__xludf.DUMMYFUNCTION("""COMPUTED_VALUE"""),"")</f>
        <v/>
      </c>
    </row>
    <row r="925">
      <c r="B925" s="8"/>
      <c r="G925" s="7" t="str">
        <f>IFERROR(__xludf.DUMMYFUNCTION("""COMPUTED_VALUE"""),"")</f>
        <v/>
      </c>
      <c r="K925" s="7" t="str">
        <f>IFERROR(__xludf.DUMMYFUNCTION("""COMPUTED_VALUE"""),"")</f>
        <v/>
      </c>
      <c r="M925" s="7" t="s">
        <v>110</v>
      </c>
      <c r="O925" s="7" t="str">
        <f>IFERROR(__xludf.DUMMYFUNCTION("""COMPUTED_VALUE"""),"")</f>
        <v/>
      </c>
      <c r="Q925" s="7" t="s">
        <v>110</v>
      </c>
      <c r="R925" s="7" t="str">
        <f>IFERROR(__xludf.DUMMYFUNCTION("""COMPUTED_VALUE"""),"")</f>
        <v/>
      </c>
    </row>
    <row r="926">
      <c r="B926" s="8"/>
      <c r="G926" s="7" t="str">
        <f>IFERROR(__xludf.DUMMYFUNCTION("""COMPUTED_VALUE"""),"")</f>
        <v/>
      </c>
      <c r="K926" s="7" t="str">
        <f>IFERROR(__xludf.DUMMYFUNCTION("""COMPUTED_VALUE"""),"")</f>
        <v/>
      </c>
      <c r="M926" s="7" t="s">
        <v>110</v>
      </c>
      <c r="O926" s="7" t="str">
        <f>IFERROR(__xludf.DUMMYFUNCTION("""COMPUTED_VALUE"""),"")</f>
        <v/>
      </c>
      <c r="Q926" s="7" t="s">
        <v>110</v>
      </c>
      <c r="R926" s="7" t="str">
        <f>IFERROR(__xludf.DUMMYFUNCTION("""COMPUTED_VALUE"""),"")</f>
        <v/>
      </c>
    </row>
    <row r="927">
      <c r="B927" s="8"/>
      <c r="G927" s="7" t="str">
        <f>IFERROR(__xludf.DUMMYFUNCTION("""COMPUTED_VALUE"""),"")</f>
        <v/>
      </c>
      <c r="K927" s="7" t="str">
        <f>IFERROR(__xludf.DUMMYFUNCTION("""COMPUTED_VALUE"""),"")</f>
        <v/>
      </c>
      <c r="M927" s="7" t="s">
        <v>110</v>
      </c>
      <c r="O927" s="7" t="str">
        <f>IFERROR(__xludf.DUMMYFUNCTION("""COMPUTED_VALUE"""),"")</f>
        <v/>
      </c>
      <c r="Q927" s="7" t="s">
        <v>110</v>
      </c>
      <c r="R927" s="7" t="str">
        <f>IFERROR(__xludf.DUMMYFUNCTION("""COMPUTED_VALUE"""),"")</f>
        <v/>
      </c>
    </row>
    <row r="928">
      <c r="B928" s="8"/>
      <c r="G928" s="7" t="str">
        <f>IFERROR(__xludf.DUMMYFUNCTION("""COMPUTED_VALUE"""),"")</f>
        <v/>
      </c>
      <c r="K928" s="7" t="str">
        <f>IFERROR(__xludf.DUMMYFUNCTION("""COMPUTED_VALUE"""),"")</f>
        <v/>
      </c>
      <c r="M928" s="7" t="s">
        <v>110</v>
      </c>
      <c r="O928" s="7" t="str">
        <f>IFERROR(__xludf.DUMMYFUNCTION("""COMPUTED_VALUE"""),"")</f>
        <v/>
      </c>
      <c r="Q928" s="7" t="s">
        <v>110</v>
      </c>
      <c r="R928" s="7" t="str">
        <f>IFERROR(__xludf.DUMMYFUNCTION("""COMPUTED_VALUE"""),"")</f>
        <v/>
      </c>
    </row>
    <row r="929">
      <c r="B929" s="8"/>
      <c r="G929" s="7" t="str">
        <f>IFERROR(__xludf.DUMMYFUNCTION("""COMPUTED_VALUE"""),"")</f>
        <v/>
      </c>
      <c r="K929" s="7" t="str">
        <f>IFERROR(__xludf.DUMMYFUNCTION("""COMPUTED_VALUE"""),"")</f>
        <v/>
      </c>
      <c r="M929" s="7" t="s">
        <v>110</v>
      </c>
      <c r="O929" s="7" t="str">
        <f>IFERROR(__xludf.DUMMYFUNCTION("""COMPUTED_VALUE"""),"")</f>
        <v/>
      </c>
      <c r="Q929" s="7" t="s">
        <v>110</v>
      </c>
      <c r="R929" s="7" t="str">
        <f>IFERROR(__xludf.DUMMYFUNCTION("""COMPUTED_VALUE"""),"")</f>
        <v/>
      </c>
    </row>
    <row r="930">
      <c r="B930" s="8"/>
      <c r="G930" s="7" t="str">
        <f>IFERROR(__xludf.DUMMYFUNCTION("""COMPUTED_VALUE"""),"")</f>
        <v/>
      </c>
      <c r="K930" s="7" t="str">
        <f>IFERROR(__xludf.DUMMYFUNCTION("""COMPUTED_VALUE"""),"")</f>
        <v/>
      </c>
      <c r="M930" s="7" t="s">
        <v>110</v>
      </c>
      <c r="O930" s="7" t="str">
        <f>IFERROR(__xludf.DUMMYFUNCTION("""COMPUTED_VALUE"""),"")</f>
        <v/>
      </c>
      <c r="Q930" s="7" t="s">
        <v>110</v>
      </c>
      <c r="R930" s="7" t="str">
        <f>IFERROR(__xludf.DUMMYFUNCTION("""COMPUTED_VALUE"""),"")</f>
        <v/>
      </c>
    </row>
    <row r="931">
      <c r="B931" s="8"/>
      <c r="G931" s="7" t="str">
        <f>IFERROR(__xludf.DUMMYFUNCTION("""COMPUTED_VALUE"""),"")</f>
        <v/>
      </c>
      <c r="K931" s="7" t="str">
        <f>IFERROR(__xludf.DUMMYFUNCTION("""COMPUTED_VALUE"""),"")</f>
        <v/>
      </c>
      <c r="M931" s="7" t="s">
        <v>110</v>
      </c>
      <c r="O931" s="7" t="str">
        <f>IFERROR(__xludf.DUMMYFUNCTION("""COMPUTED_VALUE"""),"")</f>
        <v/>
      </c>
      <c r="Q931" s="7" t="s">
        <v>110</v>
      </c>
      <c r="R931" s="7" t="str">
        <f>IFERROR(__xludf.DUMMYFUNCTION("""COMPUTED_VALUE"""),"")</f>
        <v/>
      </c>
    </row>
    <row r="932">
      <c r="B932" s="8"/>
      <c r="G932" s="7" t="str">
        <f>IFERROR(__xludf.DUMMYFUNCTION("""COMPUTED_VALUE"""),"")</f>
        <v/>
      </c>
      <c r="K932" s="7" t="str">
        <f>IFERROR(__xludf.DUMMYFUNCTION("""COMPUTED_VALUE"""),"")</f>
        <v/>
      </c>
      <c r="M932" s="7" t="s">
        <v>110</v>
      </c>
      <c r="O932" s="7" t="str">
        <f>IFERROR(__xludf.DUMMYFUNCTION("""COMPUTED_VALUE"""),"")</f>
        <v/>
      </c>
      <c r="Q932" s="7" t="s">
        <v>110</v>
      </c>
      <c r="R932" s="7" t="str">
        <f>IFERROR(__xludf.DUMMYFUNCTION("""COMPUTED_VALUE"""),"")</f>
        <v/>
      </c>
    </row>
    <row r="933">
      <c r="B933" s="8"/>
      <c r="G933" s="7" t="str">
        <f>IFERROR(__xludf.DUMMYFUNCTION("""COMPUTED_VALUE"""),"")</f>
        <v/>
      </c>
      <c r="K933" s="7" t="str">
        <f>IFERROR(__xludf.DUMMYFUNCTION("""COMPUTED_VALUE"""),"")</f>
        <v/>
      </c>
      <c r="M933" s="7" t="s">
        <v>110</v>
      </c>
      <c r="O933" s="7" t="str">
        <f>IFERROR(__xludf.DUMMYFUNCTION("""COMPUTED_VALUE"""),"")</f>
        <v/>
      </c>
      <c r="Q933" s="7" t="s">
        <v>110</v>
      </c>
      <c r="R933" s="7" t="str">
        <f>IFERROR(__xludf.DUMMYFUNCTION("""COMPUTED_VALUE"""),"")</f>
        <v/>
      </c>
    </row>
    <row r="934">
      <c r="B934" s="8"/>
      <c r="G934" s="7" t="str">
        <f>IFERROR(__xludf.DUMMYFUNCTION("""COMPUTED_VALUE"""),"")</f>
        <v/>
      </c>
      <c r="K934" s="7" t="str">
        <f>IFERROR(__xludf.DUMMYFUNCTION("""COMPUTED_VALUE"""),"")</f>
        <v/>
      </c>
      <c r="M934" s="7" t="s">
        <v>110</v>
      </c>
      <c r="O934" s="7" t="str">
        <f>IFERROR(__xludf.DUMMYFUNCTION("""COMPUTED_VALUE"""),"")</f>
        <v/>
      </c>
      <c r="Q934" s="7" t="s">
        <v>110</v>
      </c>
      <c r="R934" s="7" t="str">
        <f>IFERROR(__xludf.DUMMYFUNCTION("""COMPUTED_VALUE"""),"")</f>
        <v/>
      </c>
    </row>
    <row r="935">
      <c r="B935" s="8"/>
      <c r="G935" s="7" t="str">
        <f>IFERROR(__xludf.DUMMYFUNCTION("""COMPUTED_VALUE"""),"")</f>
        <v/>
      </c>
      <c r="K935" s="7" t="str">
        <f>IFERROR(__xludf.DUMMYFUNCTION("""COMPUTED_VALUE"""),"")</f>
        <v/>
      </c>
      <c r="M935" s="7" t="s">
        <v>110</v>
      </c>
      <c r="O935" s="7" t="str">
        <f>IFERROR(__xludf.DUMMYFUNCTION("""COMPUTED_VALUE"""),"")</f>
        <v/>
      </c>
      <c r="Q935" s="7" t="s">
        <v>110</v>
      </c>
      <c r="R935" s="7" t="str">
        <f>IFERROR(__xludf.DUMMYFUNCTION("""COMPUTED_VALUE"""),"")</f>
        <v/>
      </c>
    </row>
    <row r="936">
      <c r="B936" s="8"/>
      <c r="G936" s="7" t="str">
        <f>IFERROR(__xludf.DUMMYFUNCTION("""COMPUTED_VALUE"""),"")</f>
        <v/>
      </c>
      <c r="K936" s="7" t="str">
        <f>IFERROR(__xludf.DUMMYFUNCTION("""COMPUTED_VALUE"""),"")</f>
        <v/>
      </c>
      <c r="M936" s="7" t="s">
        <v>110</v>
      </c>
      <c r="O936" s="7" t="str">
        <f>IFERROR(__xludf.DUMMYFUNCTION("""COMPUTED_VALUE"""),"")</f>
        <v/>
      </c>
      <c r="Q936" s="7" t="s">
        <v>110</v>
      </c>
      <c r="R936" s="7" t="str">
        <f>IFERROR(__xludf.DUMMYFUNCTION("""COMPUTED_VALUE"""),"")</f>
        <v/>
      </c>
    </row>
    <row r="937">
      <c r="B937" s="8"/>
      <c r="G937" s="7" t="str">
        <f>IFERROR(__xludf.DUMMYFUNCTION("""COMPUTED_VALUE"""),"")</f>
        <v/>
      </c>
      <c r="K937" s="7" t="str">
        <f>IFERROR(__xludf.DUMMYFUNCTION("""COMPUTED_VALUE"""),"")</f>
        <v/>
      </c>
      <c r="M937" s="7" t="s">
        <v>110</v>
      </c>
      <c r="O937" s="7" t="str">
        <f>IFERROR(__xludf.DUMMYFUNCTION("""COMPUTED_VALUE"""),"")</f>
        <v/>
      </c>
      <c r="Q937" s="7" t="s">
        <v>110</v>
      </c>
      <c r="R937" s="7" t="str">
        <f>IFERROR(__xludf.DUMMYFUNCTION("""COMPUTED_VALUE"""),"")</f>
        <v/>
      </c>
    </row>
    <row r="938">
      <c r="B938" s="8"/>
      <c r="G938" s="7" t="str">
        <f>IFERROR(__xludf.DUMMYFUNCTION("""COMPUTED_VALUE"""),"")</f>
        <v/>
      </c>
      <c r="K938" s="7" t="str">
        <f>IFERROR(__xludf.DUMMYFUNCTION("""COMPUTED_VALUE"""),"")</f>
        <v/>
      </c>
      <c r="M938" s="7" t="s">
        <v>110</v>
      </c>
      <c r="O938" s="7" t="str">
        <f>IFERROR(__xludf.DUMMYFUNCTION("""COMPUTED_VALUE"""),"")</f>
        <v/>
      </c>
      <c r="Q938" s="7" t="s">
        <v>110</v>
      </c>
      <c r="R938" s="7" t="str">
        <f>IFERROR(__xludf.DUMMYFUNCTION("""COMPUTED_VALUE"""),"")</f>
        <v/>
      </c>
    </row>
    <row r="939">
      <c r="B939" s="8"/>
      <c r="G939" s="7" t="str">
        <f>IFERROR(__xludf.DUMMYFUNCTION("""COMPUTED_VALUE"""),"")</f>
        <v/>
      </c>
      <c r="K939" s="7" t="str">
        <f>IFERROR(__xludf.DUMMYFUNCTION("""COMPUTED_VALUE"""),"")</f>
        <v/>
      </c>
      <c r="M939" s="7" t="s">
        <v>110</v>
      </c>
      <c r="O939" s="7" t="str">
        <f>IFERROR(__xludf.DUMMYFUNCTION("""COMPUTED_VALUE"""),"")</f>
        <v/>
      </c>
      <c r="Q939" s="7" t="s">
        <v>110</v>
      </c>
      <c r="R939" s="7" t="str">
        <f>IFERROR(__xludf.DUMMYFUNCTION("""COMPUTED_VALUE"""),"")</f>
        <v/>
      </c>
    </row>
    <row r="940">
      <c r="B940" s="8"/>
      <c r="G940" s="7" t="str">
        <f>IFERROR(__xludf.DUMMYFUNCTION("""COMPUTED_VALUE"""),"")</f>
        <v/>
      </c>
      <c r="K940" s="7" t="str">
        <f>IFERROR(__xludf.DUMMYFUNCTION("""COMPUTED_VALUE"""),"")</f>
        <v/>
      </c>
      <c r="M940" s="7" t="s">
        <v>110</v>
      </c>
      <c r="O940" s="7" t="str">
        <f>IFERROR(__xludf.DUMMYFUNCTION("""COMPUTED_VALUE"""),"")</f>
        <v/>
      </c>
      <c r="Q940" s="7" t="s">
        <v>110</v>
      </c>
      <c r="R940" s="7" t="str">
        <f>IFERROR(__xludf.DUMMYFUNCTION("""COMPUTED_VALUE"""),"")</f>
        <v/>
      </c>
    </row>
    <row r="941">
      <c r="B941" s="8"/>
      <c r="G941" s="7" t="str">
        <f>IFERROR(__xludf.DUMMYFUNCTION("""COMPUTED_VALUE"""),"")</f>
        <v/>
      </c>
      <c r="K941" s="7" t="str">
        <f>IFERROR(__xludf.DUMMYFUNCTION("""COMPUTED_VALUE"""),"")</f>
        <v/>
      </c>
      <c r="M941" s="7" t="s">
        <v>110</v>
      </c>
      <c r="O941" s="7" t="str">
        <f>IFERROR(__xludf.DUMMYFUNCTION("""COMPUTED_VALUE"""),"")</f>
        <v/>
      </c>
      <c r="Q941" s="7" t="s">
        <v>110</v>
      </c>
      <c r="R941" s="7" t="str">
        <f>IFERROR(__xludf.DUMMYFUNCTION("""COMPUTED_VALUE"""),"")</f>
        <v/>
      </c>
    </row>
    <row r="942">
      <c r="B942" s="8"/>
      <c r="G942" s="7" t="str">
        <f>IFERROR(__xludf.DUMMYFUNCTION("""COMPUTED_VALUE"""),"")</f>
        <v/>
      </c>
      <c r="K942" s="7" t="str">
        <f>IFERROR(__xludf.DUMMYFUNCTION("""COMPUTED_VALUE"""),"")</f>
        <v/>
      </c>
      <c r="M942" s="7" t="s">
        <v>110</v>
      </c>
      <c r="O942" s="7" t="str">
        <f>IFERROR(__xludf.DUMMYFUNCTION("""COMPUTED_VALUE"""),"")</f>
        <v/>
      </c>
      <c r="Q942" s="7" t="s">
        <v>110</v>
      </c>
      <c r="R942" s="7" t="str">
        <f>IFERROR(__xludf.DUMMYFUNCTION("""COMPUTED_VALUE"""),"")</f>
        <v/>
      </c>
    </row>
    <row r="943">
      <c r="B943" s="8"/>
      <c r="G943" s="7" t="str">
        <f>IFERROR(__xludf.DUMMYFUNCTION("""COMPUTED_VALUE"""),"")</f>
        <v/>
      </c>
      <c r="K943" s="7" t="str">
        <f>IFERROR(__xludf.DUMMYFUNCTION("""COMPUTED_VALUE"""),"")</f>
        <v/>
      </c>
      <c r="M943" s="7" t="s">
        <v>110</v>
      </c>
      <c r="O943" s="7" t="str">
        <f>IFERROR(__xludf.DUMMYFUNCTION("""COMPUTED_VALUE"""),"")</f>
        <v/>
      </c>
      <c r="Q943" s="7" t="s">
        <v>110</v>
      </c>
      <c r="R943" s="7" t="str">
        <f>IFERROR(__xludf.DUMMYFUNCTION("""COMPUTED_VALUE"""),"")</f>
        <v/>
      </c>
    </row>
    <row r="944">
      <c r="B944" s="8"/>
      <c r="G944" s="7" t="str">
        <f>IFERROR(__xludf.DUMMYFUNCTION("""COMPUTED_VALUE"""),"")</f>
        <v/>
      </c>
      <c r="K944" s="7" t="str">
        <f>IFERROR(__xludf.DUMMYFUNCTION("""COMPUTED_VALUE"""),"")</f>
        <v/>
      </c>
      <c r="M944" s="7" t="s">
        <v>110</v>
      </c>
      <c r="O944" s="7" t="str">
        <f>IFERROR(__xludf.DUMMYFUNCTION("""COMPUTED_VALUE"""),"")</f>
        <v/>
      </c>
      <c r="Q944" s="7" t="s">
        <v>110</v>
      </c>
      <c r="R944" s="7" t="str">
        <f>IFERROR(__xludf.DUMMYFUNCTION("""COMPUTED_VALUE"""),"")</f>
        <v/>
      </c>
    </row>
    <row r="945">
      <c r="B945" s="8"/>
      <c r="G945" s="7" t="str">
        <f>IFERROR(__xludf.DUMMYFUNCTION("""COMPUTED_VALUE"""),"")</f>
        <v/>
      </c>
      <c r="K945" s="7" t="str">
        <f>IFERROR(__xludf.DUMMYFUNCTION("""COMPUTED_VALUE"""),"")</f>
        <v/>
      </c>
      <c r="M945" s="7" t="s">
        <v>110</v>
      </c>
      <c r="O945" s="7" t="str">
        <f>IFERROR(__xludf.DUMMYFUNCTION("""COMPUTED_VALUE"""),"")</f>
        <v/>
      </c>
      <c r="Q945" s="7" t="s">
        <v>110</v>
      </c>
      <c r="R945" s="7" t="str">
        <f>IFERROR(__xludf.DUMMYFUNCTION("""COMPUTED_VALUE"""),"")</f>
        <v/>
      </c>
    </row>
    <row r="946">
      <c r="B946" s="8"/>
      <c r="G946" s="7" t="str">
        <f>IFERROR(__xludf.DUMMYFUNCTION("""COMPUTED_VALUE"""),"")</f>
        <v/>
      </c>
      <c r="K946" s="7" t="str">
        <f>IFERROR(__xludf.DUMMYFUNCTION("""COMPUTED_VALUE"""),"")</f>
        <v/>
      </c>
      <c r="M946" s="7" t="s">
        <v>110</v>
      </c>
      <c r="O946" s="7" t="str">
        <f>IFERROR(__xludf.DUMMYFUNCTION("""COMPUTED_VALUE"""),"")</f>
        <v/>
      </c>
      <c r="Q946" s="7" t="s">
        <v>110</v>
      </c>
      <c r="R946" s="7" t="str">
        <f>IFERROR(__xludf.DUMMYFUNCTION("""COMPUTED_VALUE"""),"")</f>
        <v/>
      </c>
    </row>
    <row r="947">
      <c r="B947" s="8"/>
      <c r="G947" s="7" t="str">
        <f>IFERROR(__xludf.DUMMYFUNCTION("""COMPUTED_VALUE"""),"")</f>
        <v/>
      </c>
      <c r="K947" s="7" t="str">
        <f>IFERROR(__xludf.DUMMYFUNCTION("""COMPUTED_VALUE"""),"")</f>
        <v/>
      </c>
      <c r="M947" s="7" t="s">
        <v>110</v>
      </c>
      <c r="O947" s="7" t="str">
        <f>IFERROR(__xludf.DUMMYFUNCTION("""COMPUTED_VALUE"""),"")</f>
        <v/>
      </c>
      <c r="Q947" s="7" t="s">
        <v>110</v>
      </c>
      <c r="R947" s="7" t="str">
        <f>IFERROR(__xludf.DUMMYFUNCTION("""COMPUTED_VALUE"""),"")</f>
        <v/>
      </c>
    </row>
    <row r="948">
      <c r="B948" s="8"/>
      <c r="G948" s="7" t="str">
        <f>IFERROR(__xludf.DUMMYFUNCTION("""COMPUTED_VALUE"""),"")</f>
        <v/>
      </c>
      <c r="K948" s="7" t="str">
        <f>IFERROR(__xludf.DUMMYFUNCTION("""COMPUTED_VALUE"""),"")</f>
        <v/>
      </c>
      <c r="M948" s="7" t="s">
        <v>110</v>
      </c>
      <c r="O948" s="7" t="str">
        <f>IFERROR(__xludf.DUMMYFUNCTION("""COMPUTED_VALUE"""),"")</f>
        <v/>
      </c>
      <c r="Q948" s="7" t="s">
        <v>110</v>
      </c>
      <c r="R948" s="7" t="str">
        <f>IFERROR(__xludf.DUMMYFUNCTION("""COMPUTED_VALUE"""),"")</f>
        <v/>
      </c>
    </row>
    <row r="949">
      <c r="B949" s="8"/>
      <c r="G949" s="7" t="str">
        <f>IFERROR(__xludf.DUMMYFUNCTION("""COMPUTED_VALUE"""),"")</f>
        <v/>
      </c>
      <c r="K949" s="7" t="str">
        <f>IFERROR(__xludf.DUMMYFUNCTION("""COMPUTED_VALUE"""),"")</f>
        <v/>
      </c>
      <c r="M949" s="7" t="s">
        <v>110</v>
      </c>
      <c r="O949" s="7" t="str">
        <f>IFERROR(__xludf.DUMMYFUNCTION("""COMPUTED_VALUE"""),"")</f>
        <v/>
      </c>
      <c r="Q949" s="7" t="s">
        <v>110</v>
      </c>
      <c r="R949" s="7" t="str">
        <f>IFERROR(__xludf.DUMMYFUNCTION("""COMPUTED_VALUE"""),"")</f>
        <v/>
      </c>
    </row>
    <row r="950">
      <c r="B950" s="8"/>
      <c r="G950" s="7" t="str">
        <f>IFERROR(__xludf.DUMMYFUNCTION("""COMPUTED_VALUE"""),"")</f>
        <v/>
      </c>
      <c r="K950" s="7" t="str">
        <f>IFERROR(__xludf.DUMMYFUNCTION("""COMPUTED_VALUE"""),"")</f>
        <v/>
      </c>
      <c r="M950" s="7" t="s">
        <v>110</v>
      </c>
      <c r="O950" s="7" t="str">
        <f>IFERROR(__xludf.DUMMYFUNCTION("""COMPUTED_VALUE"""),"")</f>
        <v/>
      </c>
      <c r="Q950" s="7" t="s">
        <v>110</v>
      </c>
      <c r="R950" s="7" t="str">
        <f>IFERROR(__xludf.DUMMYFUNCTION("""COMPUTED_VALUE"""),"")</f>
        <v/>
      </c>
    </row>
    <row r="951">
      <c r="B951" s="8"/>
      <c r="G951" s="7" t="str">
        <f>IFERROR(__xludf.DUMMYFUNCTION("""COMPUTED_VALUE"""),"")</f>
        <v/>
      </c>
      <c r="K951" s="7" t="str">
        <f>IFERROR(__xludf.DUMMYFUNCTION("""COMPUTED_VALUE"""),"")</f>
        <v/>
      </c>
      <c r="M951" s="7" t="s">
        <v>110</v>
      </c>
      <c r="O951" s="7" t="str">
        <f>IFERROR(__xludf.DUMMYFUNCTION("""COMPUTED_VALUE"""),"")</f>
        <v/>
      </c>
      <c r="Q951" s="7" t="s">
        <v>110</v>
      </c>
      <c r="R951" s="7" t="str">
        <f>IFERROR(__xludf.DUMMYFUNCTION("""COMPUTED_VALUE"""),"")</f>
        <v/>
      </c>
    </row>
    <row r="952">
      <c r="B952" s="8"/>
      <c r="G952" s="7" t="str">
        <f>IFERROR(__xludf.DUMMYFUNCTION("""COMPUTED_VALUE"""),"")</f>
        <v/>
      </c>
      <c r="K952" s="7" t="str">
        <f>IFERROR(__xludf.DUMMYFUNCTION("""COMPUTED_VALUE"""),"")</f>
        <v/>
      </c>
      <c r="M952" s="7" t="s">
        <v>110</v>
      </c>
      <c r="O952" s="7" t="str">
        <f>IFERROR(__xludf.DUMMYFUNCTION("""COMPUTED_VALUE"""),"")</f>
        <v/>
      </c>
      <c r="Q952" s="7" t="s">
        <v>110</v>
      </c>
      <c r="R952" s="7" t="str">
        <f>IFERROR(__xludf.DUMMYFUNCTION("""COMPUTED_VALUE"""),"")</f>
        <v/>
      </c>
    </row>
    <row r="953">
      <c r="B953" s="8"/>
      <c r="G953" s="7" t="str">
        <f>IFERROR(__xludf.DUMMYFUNCTION("""COMPUTED_VALUE"""),"")</f>
        <v/>
      </c>
      <c r="K953" s="7" t="str">
        <f>IFERROR(__xludf.DUMMYFUNCTION("""COMPUTED_VALUE"""),"")</f>
        <v/>
      </c>
      <c r="M953" s="7" t="s">
        <v>110</v>
      </c>
      <c r="O953" s="7" t="str">
        <f>IFERROR(__xludf.DUMMYFUNCTION("""COMPUTED_VALUE"""),"")</f>
        <v/>
      </c>
      <c r="Q953" s="7" t="s">
        <v>110</v>
      </c>
      <c r="R953" s="7" t="str">
        <f>IFERROR(__xludf.DUMMYFUNCTION("""COMPUTED_VALUE"""),"")</f>
        <v/>
      </c>
    </row>
    <row r="954">
      <c r="B954" s="8"/>
      <c r="G954" s="7" t="str">
        <f>IFERROR(__xludf.DUMMYFUNCTION("""COMPUTED_VALUE"""),"")</f>
        <v/>
      </c>
      <c r="K954" s="7" t="str">
        <f>IFERROR(__xludf.DUMMYFUNCTION("""COMPUTED_VALUE"""),"")</f>
        <v/>
      </c>
      <c r="M954" s="7" t="s">
        <v>110</v>
      </c>
      <c r="O954" s="7" t="str">
        <f>IFERROR(__xludf.DUMMYFUNCTION("""COMPUTED_VALUE"""),"")</f>
        <v/>
      </c>
      <c r="Q954" s="7" t="s">
        <v>110</v>
      </c>
      <c r="R954" s="7" t="str">
        <f>IFERROR(__xludf.DUMMYFUNCTION("""COMPUTED_VALUE"""),"")</f>
        <v/>
      </c>
    </row>
    <row r="955">
      <c r="B955" s="8"/>
      <c r="G955" s="7" t="str">
        <f>IFERROR(__xludf.DUMMYFUNCTION("""COMPUTED_VALUE"""),"")</f>
        <v/>
      </c>
      <c r="K955" s="7" t="str">
        <f>IFERROR(__xludf.DUMMYFUNCTION("""COMPUTED_VALUE"""),"")</f>
        <v/>
      </c>
      <c r="M955" s="7" t="s">
        <v>110</v>
      </c>
      <c r="O955" s="7" t="str">
        <f>IFERROR(__xludf.DUMMYFUNCTION("""COMPUTED_VALUE"""),"")</f>
        <v/>
      </c>
      <c r="Q955" s="7" t="s">
        <v>110</v>
      </c>
      <c r="R955" s="7" t="str">
        <f>IFERROR(__xludf.DUMMYFUNCTION("""COMPUTED_VALUE"""),"")</f>
        <v/>
      </c>
    </row>
    <row r="956">
      <c r="B956" s="8"/>
      <c r="G956" s="7" t="str">
        <f>IFERROR(__xludf.DUMMYFUNCTION("""COMPUTED_VALUE"""),"")</f>
        <v/>
      </c>
      <c r="K956" s="7" t="str">
        <f>IFERROR(__xludf.DUMMYFUNCTION("""COMPUTED_VALUE"""),"")</f>
        <v/>
      </c>
      <c r="M956" s="7" t="s">
        <v>110</v>
      </c>
      <c r="O956" s="7" t="str">
        <f>IFERROR(__xludf.DUMMYFUNCTION("""COMPUTED_VALUE"""),"")</f>
        <v/>
      </c>
      <c r="Q956" s="7" t="s">
        <v>110</v>
      </c>
      <c r="R956" s="7" t="str">
        <f>IFERROR(__xludf.DUMMYFUNCTION("""COMPUTED_VALUE"""),"")</f>
        <v/>
      </c>
    </row>
    <row r="957">
      <c r="B957" s="8"/>
      <c r="G957" s="7" t="str">
        <f>IFERROR(__xludf.DUMMYFUNCTION("""COMPUTED_VALUE"""),"")</f>
        <v/>
      </c>
      <c r="K957" s="7" t="str">
        <f>IFERROR(__xludf.DUMMYFUNCTION("""COMPUTED_VALUE"""),"")</f>
        <v/>
      </c>
      <c r="M957" s="7" t="s">
        <v>110</v>
      </c>
      <c r="O957" s="7" t="str">
        <f>IFERROR(__xludf.DUMMYFUNCTION("""COMPUTED_VALUE"""),"")</f>
        <v/>
      </c>
      <c r="Q957" s="7" t="s">
        <v>110</v>
      </c>
      <c r="R957" s="7" t="str">
        <f>IFERROR(__xludf.DUMMYFUNCTION("""COMPUTED_VALUE"""),"")</f>
        <v/>
      </c>
    </row>
    <row r="958">
      <c r="B958" s="8"/>
      <c r="G958" s="7" t="str">
        <f>IFERROR(__xludf.DUMMYFUNCTION("""COMPUTED_VALUE"""),"")</f>
        <v/>
      </c>
      <c r="K958" s="7" t="str">
        <f>IFERROR(__xludf.DUMMYFUNCTION("""COMPUTED_VALUE"""),"")</f>
        <v/>
      </c>
      <c r="M958" s="7" t="s">
        <v>110</v>
      </c>
      <c r="O958" s="7" t="str">
        <f>IFERROR(__xludf.DUMMYFUNCTION("""COMPUTED_VALUE"""),"")</f>
        <v/>
      </c>
      <c r="Q958" s="7" t="s">
        <v>110</v>
      </c>
      <c r="R958" s="7" t="str">
        <f>IFERROR(__xludf.DUMMYFUNCTION("""COMPUTED_VALUE"""),"")</f>
        <v/>
      </c>
    </row>
    <row r="959">
      <c r="B959" s="8"/>
      <c r="G959" s="7" t="str">
        <f>IFERROR(__xludf.DUMMYFUNCTION("""COMPUTED_VALUE"""),"")</f>
        <v/>
      </c>
      <c r="K959" s="7" t="str">
        <f>IFERROR(__xludf.DUMMYFUNCTION("""COMPUTED_VALUE"""),"")</f>
        <v/>
      </c>
      <c r="M959" s="7" t="s">
        <v>110</v>
      </c>
      <c r="O959" s="7" t="str">
        <f>IFERROR(__xludf.DUMMYFUNCTION("""COMPUTED_VALUE"""),"")</f>
        <v/>
      </c>
      <c r="Q959" s="7" t="s">
        <v>110</v>
      </c>
      <c r="R959" s="7" t="str">
        <f>IFERROR(__xludf.DUMMYFUNCTION("""COMPUTED_VALUE"""),"")</f>
        <v/>
      </c>
    </row>
    <row r="960">
      <c r="B960" s="8"/>
      <c r="G960" s="7" t="str">
        <f>IFERROR(__xludf.DUMMYFUNCTION("""COMPUTED_VALUE"""),"")</f>
        <v/>
      </c>
      <c r="K960" s="7" t="str">
        <f>IFERROR(__xludf.DUMMYFUNCTION("""COMPUTED_VALUE"""),"")</f>
        <v/>
      </c>
      <c r="M960" s="7" t="s">
        <v>110</v>
      </c>
      <c r="O960" s="7" t="str">
        <f>IFERROR(__xludf.DUMMYFUNCTION("""COMPUTED_VALUE"""),"")</f>
        <v/>
      </c>
      <c r="Q960" s="7" t="s">
        <v>110</v>
      </c>
      <c r="R960" s="7" t="str">
        <f>IFERROR(__xludf.DUMMYFUNCTION("""COMPUTED_VALUE"""),"")</f>
        <v/>
      </c>
    </row>
    <row r="961">
      <c r="B961" s="8"/>
      <c r="G961" s="7" t="str">
        <f>IFERROR(__xludf.DUMMYFUNCTION("""COMPUTED_VALUE"""),"")</f>
        <v/>
      </c>
      <c r="K961" s="7" t="str">
        <f>IFERROR(__xludf.DUMMYFUNCTION("""COMPUTED_VALUE"""),"")</f>
        <v/>
      </c>
      <c r="M961" s="7" t="s">
        <v>110</v>
      </c>
      <c r="O961" s="7" t="str">
        <f>IFERROR(__xludf.DUMMYFUNCTION("""COMPUTED_VALUE"""),"")</f>
        <v/>
      </c>
      <c r="Q961" s="7" t="s">
        <v>110</v>
      </c>
      <c r="R961" s="7" t="str">
        <f>IFERROR(__xludf.DUMMYFUNCTION("""COMPUTED_VALUE"""),"")</f>
        <v/>
      </c>
    </row>
    <row r="962">
      <c r="B962" s="8"/>
      <c r="G962" s="7" t="str">
        <f>IFERROR(__xludf.DUMMYFUNCTION("""COMPUTED_VALUE"""),"")</f>
        <v/>
      </c>
      <c r="K962" s="7" t="str">
        <f>IFERROR(__xludf.DUMMYFUNCTION("""COMPUTED_VALUE"""),"")</f>
        <v/>
      </c>
      <c r="M962" s="7" t="s">
        <v>110</v>
      </c>
      <c r="O962" s="7" t="str">
        <f>IFERROR(__xludf.DUMMYFUNCTION("""COMPUTED_VALUE"""),"")</f>
        <v/>
      </c>
      <c r="Q962" s="7" t="s">
        <v>110</v>
      </c>
      <c r="R962" s="7" t="str">
        <f>IFERROR(__xludf.DUMMYFUNCTION("""COMPUTED_VALUE"""),"")</f>
        <v/>
      </c>
    </row>
    <row r="963">
      <c r="B963" s="8"/>
      <c r="G963" s="7" t="str">
        <f>IFERROR(__xludf.DUMMYFUNCTION("""COMPUTED_VALUE"""),"")</f>
        <v/>
      </c>
      <c r="K963" s="7" t="str">
        <f>IFERROR(__xludf.DUMMYFUNCTION("""COMPUTED_VALUE"""),"")</f>
        <v/>
      </c>
      <c r="M963" s="7" t="s">
        <v>110</v>
      </c>
      <c r="O963" s="7" t="str">
        <f>IFERROR(__xludf.DUMMYFUNCTION("""COMPUTED_VALUE"""),"")</f>
        <v/>
      </c>
      <c r="Q963" s="7" t="s">
        <v>110</v>
      </c>
      <c r="R963" s="7" t="str">
        <f>IFERROR(__xludf.DUMMYFUNCTION("""COMPUTED_VALUE"""),"")</f>
        <v/>
      </c>
    </row>
    <row r="964">
      <c r="B964" s="8"/>
      <c r="G964" s="7" t="str">
        <f>IFERROR(__xludf.DUMMYFUNCTION("""COMPUTED_VALUE"""),"")</f>
        <v/>
      </c>
      <c r="K964" s="7" t="str">
        <f>IFERROR(__xludf.DUMMYFUNCTION("""COMPUTED_VALUE"""),"")</f>
        <v/>
      </c>
      <c r="M964" s="7" t="s">
        <v>110</v>
      </c>
      <c r="O964" s="7" t="str">
        <f>IFERROR(__xludf.DUMMYFUNCTION("""COMPUTED_VALUE"""),"")</f>
        <v/>
      </c>
      <c r="Q964" s="7" t="s">
        <v>110</v>
      </c>
      <c r="R964" s="7" t="str">
        <f>IFERROR(__xludf.DUMMYFUNCTION("""COMPUTED_VALUE"""),"")</f>
        <v/>
      </c>
    </row>
    <row r="965">
      <c r="B965" s="8"/>
      <c r="G965" s="7" t="str">
        <f>IFERROR(__xludf.DUMMYFUNCTION("""COMPUTED_VALUE"""),"")</f>
        <v/>
      </c>
      <c r="K965" s="7" t="str">
        <f>IFERROR(__xludf.DUMMYFUNCTION("""COMPUTED_VALUE"""),"")</f>
        <v/>
      </c>
      <c r="M965" s="7" t="s">
        <v>110</v>
      </c>
      <c r="O965" s="7" t="str">
        <f>IFERROR(__xludf.DUMMYFUNCTION("""COMPUTED_VALUE"""),"")</f>
        <v/>
      </c>
      <c r="Q965" s="7" t="s">
        <v>110</v>
      </c>
      <c r="R965" s="7" t="str">
        <f>IFERROR(__xludf.DUMMYFUNCTION("""COMPUTED_VALUE"""),"")</f>
        <v/>
      </c>
    </row>
    <row r="966">
      <c r="B966" s="8"/>
      <c r="G966" s="7" t="str">
        <f>IFERROR(__xludf.DUMMYFUNCTION("""COMPUTED_VALUE"""),"")</f>
        <v/>
      </c>
      <c r="K966" s="7" t="str">
        <f>IFERROR(__xludf.DUMMYFUNCTION("""COMPUTED_VALUE"""),"")</f>
        <v/>
      </c>
      <c r="M966" s="7" t="s">
        <v>110</v>
      </c>
      <c r="O966" s="7" t="str">
        <f>IFERROR(__xludf.DUMMYFUNCTION("""COMPUTED_VALUE"""),"")</f>
        <v/>
      </c>
      <c r="Q966" s="7" t="s">
        <v>110</v>
      </c>
      <c r="R966" s="7" t="str">
        <f>IFERROR(__xludf.DUMMYFUNCTION("""COMPUTED_VALUE"""),"")</f>
        <v/>
      </c>
    </row>
    <row r="967">
      <c r="B967" s="8"/>
      <c r="G967" s="7" t="str">
        <f>IFERROR(__xludf.DUMMYFUNCTION("""COMPUTED_VALUE"""),"")</f>
        <v/>
      </c>
      <c r="K967" s="7" t="str">
        <f>IFERROR(__xludf.DUMMYFUNCTION("""COMPUTED_VALUE"""),"")</f>
        <v/>
      </c>
      <c r="M967" s="7" t="s">
        <v>110</v>
      </c>
      <c r="O967" s="7" t="str">
        <f>IFERROR(__xludf.DUMMYFUNCTION("""COMPUTED_VALUE"""),"")</f>
        <v/>
      </c>
      <c r="Q967" s="7" t="s">
        <v>110</v>
      </c>
      <c r="R967" s="7" t="str">
        <f>IFERROR(__xludf.DUMMYFUNCTION("""COMPUTED_VALUE"""),"")</f>
        <v/>
      </c>
    </row>
    <row r="968">
      <c r="B968" s="8"/>
      <c r="G968" s="7" t="str">
        <f>IFERROR(__xludf.DUMMYFUNCTION("""COMPUTED_VALUE"""),"")</f>
        <v/>
      </c>
      <c r="K968" s="7" t="str">
        <f>IFERROR(__xludf.DUMMYFUNCTION("""COMPUTED_VALUE"""),"")</f>
        <v/>
      </c>
      <c r="M968" s="7" t="s">
        <v>110</v>
      </c>
      <c r="O968" s="7" t="str">
        <f>IFERROR(__xludf.DUMMYFUNCTION("""COMPUTED_VALUE"""),"")</f>
        <v/>
      </c>
      <c r="Q968" s="7" t="s">
        <v>110</v>
      </c>
      <c r="R968" s="7" t="str">
        <f>IFERROR(__xludf.DUMMYFUNCTION("""COMPUTED_VALUE"""),"")</f>
        <v/>
      </c>
    </row>
    <row r="969">
      <c r="B969" s="8"/>
      <c r="G969" s="7" t="str">
        <f>IFERROR(__xludf.DUMMYFUNCTION("""COMPUTED_VALUE"""),"")</f>
        <v/>
      </c>
      <c r="K969" s="7" t="str">
        <f>IFERROR(__xludf.DUMMYFUNCTION("""COMPUTED_VALUE"""),"")</f>
        <v/>
      </c>
      <c r="M969" s="7" t="s">
        <v>110</v>
      </c>
      <c r="O969" s="7" t="str">
        <f>IFERROR(__xludf.DUMMYFUNCTION("""COMPUTED_VALUE"""),"")</f>
        <v/>
      </c>
      <c r="Q969" s="7" t="s">
        <v>110</v>
      </c>
      <c r="R969" s="7" t="str">
        <f>IFERROR(__xludf.DUMMYFUNCTION("""COMPUTED_VALUE"""),"")</f>
        <v/>
      </c>
    </row>
    <row r="970">
      <c r="B970" s="8"/>
      <c r="G970" s="7" t="str">
        <f>IFERROR(__xludf.DUMMYFUNCTION("""COMPUTED_VALUE"""),"")</f>
        <v/>
      </c>
      <c r="K970" s="7" t="str">
        <f>IFERROR(__xludf.DUMMYFUNCTION("""COMPUTED_VALUE"""),"")</f>
        <v/>
      </c>
      <c r="M970" s="7" t="s">
        <v>110</v>
      </c>
      <c r="O970" s="7" t="str">
        <f>IFERROR(__xludf.DUMMYFUNCTION("""COMPUTED_VALUE"""),"")</f>
        <v/>
      </c>
      <c r="Q970" s="7" t="s">
        <v>110</v>
      </c>
      <c r="R970" s="7" t="str">
        <f>IFERROR(__xludf.DUMMYFUNCTION("""COMPUTED_VALUE"""),"")</f>
        <v/>
      </c>
    </row>
    <row r="971">
      <c r="B971" s="8"/>
      <c r="G971" s="7" t="str">
        <f>IFERROR(__xludf.DUMMYFUNCTION("""COMPUTED_VALUE"""),"")</f>
        <v/>
      </c>
      <c r="K971" s="7" t="str">
        <f>IFERROR(__xludf.DUMMYFUNCTION("""COMPUTED_VALUE"""),"")</f>
        <v/>
      </c>
      <c r="M971" s="7" t="s">
        <v>110</v>
      </c>
      <c r="O971" s="7" t="str">
        <f>IFERROR(__xludf.DUMMYFUNCTION("""COMPUTED_VALUE"""),"")</f>
        <v/>
      </c>
      <c r="Q971" s="7" t="s">
        <v>110</v>
      </c>
      <c r="R971" s="7" t="str">
        <f>IFERROR(__xludf.DUMMYFUNCTION("""COMPUTED_VALUE"""),"")</f>
        <v/>
      </c>
    </row>
    <row r="972">
      <c r="B972" s="8"/>
      <c r="G972" s="7" t="str">
        <f>IFERROR(__xludf.DUMMYFUNCTION("""COMPUTED_VALUE"""),"")</f>
        <v/>
      </c>
      <c r="K972" s="7" t="str">
        <f>IFERROR(__xludf.DUMMYFUNCTION("""COMPUTED_VALUE"""),"")</f>
        <v/>
      </c>
      <c r="M972" s="7" t="s">
        <v>110</v>
      </c>
      <c r="O972" s="7" t="str">
        <f>IFERROR(__xludf.DUMMYFUNCTION("""COMPUTED_VALUE"""),"")</f>
        <v/>
      </c>
      <c r="Q972" s="7" t="s">
        <v>110</v>
      </c>
      <c r="R972" s="7" t="str">
        <f>IFERROR(__xludf.DUMMYFUNCTION("""COMPUTED_VALUE"""),"")</f>
        <v/>
      </c>
    </row>
    <row r="973">
      <c r="B973" s="8"/>
      <c r="G973" s="7" t="str">
        <f>IFERROR(__xludf.DUMMYFUNCTION("""COMPUTED_VALUE"""),"")</f>
        <v/>
      </c>
      <c r="K973" s="7" t="str">
        <f>IFERROR(__xludf.DUMMYFUNCTION("""COMPUTED_VALUE"""),"")</f>
        <v/>
      </c>
      <c r="M973" s="7" t="s">
        <v>110</v>
      </c>
      <c r="O973" s="7" t="str">
        <f>IFERROR(__xludf.DUMMYFUNCTION("""COMPUTED_VALUE"""),"")</f>
        <v/>
      </c>
      <c r="Q973" s="7" t="s">
        <v>110</v>
      </c>
      <c r="R973" s="7" t="str">
        <f>IFERROR(__xludf.DUMMYFUNCTION("""COMPUTED_VALUE"""),"")</f>
        <v/>
      </c>
    </row>
    <row r="974">
      <c r="B974" s="8"/>
      <c r="G974" s="7" t="str">
        <f>IFERROR(__xludf.DUMMYFUNCTION("""COMPUTED_VALUE"""),"")</f>
        <v/>
      </c>
      <c r="K974" s="7" t="str">
        <f>IFERROR(__xludf.DUMMYFUNCTION("""COMPUTED_VALUE"""),"")</f>
        <v/>
      </c>
      <c r="M974" s="7" t="s">
        <v>110</v>
      </c>
      <c r="O974" s="7" t="str">
        <f>IFERROR(__xludf.DUMMYFUNCTION("""COMPUTED_VALUE"""),"")</f>
        <v/>
      </c>
      <c r="Q974" s="7" t="s">
        <v>110</v>
      </c>
      <c r="R974" s="7" t="str">
        <f>IFERROR(__xludf.DUMMYFUNCTION("""COMPUTED_VALUE"""),"")</f>
        <v/>
      </c>
    </row>
    <row r="975">
      <c r="B975" s="8"/>
      <c r="G975" s="7" t="str">
        <f>IFERROR(__xludf.DUMMYFUNCTION("""COMPUTED_VALUE"""),"")</f>
        <v/>
      </c>
      <c r="K975" s="7" t="str">
        <f>IFERROR(__xludf.DUMMYFUNCTION("""COMPUTED_VALUE"""),"")</f>
        <v/>
      </c>
      <c r="M975" s="7" t="s">
        <v>110</v>
      </c>
      <c r="O975" s="7" t="str">
        <f>IFERROR(__xludf.DUMMYFUNCTION("""COMPUTED_VALUE"""),"")</f>
        <v/>
      </c>
      <c r="Q975" s="7" t="s">
        <v>110</v>
      </c>
      <c r="R975" s="7" t="str">
        <f>IFERROR(__xludf.DUMMYFUNCTION("""COMPUTED_VALUE"""),"")</f>
        <v/>
      </c>
    </row>
    <row r="976">
      <c r="B976" s="8"/>
      <c r="G976" s="7" t="str">
        <f>IFERROR(__xludf.DUMMYFUNCTION("""COMPUTED_VALUE"""),"")</f>
        <v/>
      </c>
      <c r="K976" s="7" t="str">
        <f>IFERROR(__xludf.DUMMYFUNCTION("""COMPUTED_VALUE"""),"")</f>
        <v/>
      </c>
      <c r="M976" s="7" t="s">
        <v>110</v>
      </c>
      <c r="O976" s="7" t="str">
        <f>IFERROR(__xludf.DUMMYFUNCTION("""COMPUTED_VALUE"""),"")</f>
        <v/>
      </c>
      <c r="Q976" s="7" t="s">
        <v>110</v>
      </c>
      <c r="R976" s="7" t="str">
        <f>IFERROR(__xludf.DUMMYFUNCTION("""COMPUTED_VALUE"""),"")</f>
        <v/>
      </c>
    </row>
    <row r="977">
      <c r="B977" s="8"/>
      <c r="G977" s="7" t="str">
        <f>IFERROR(__xludf.DUMMYFUNCTION("""COMPUTED_VALUE"""),"")</f>
        <v/>
      </c>
      <c r="K977" s="7" t="str">
        <f>IFERROR(__xludf.DUMMYFUNCTION("""COMPUTED_VALUE"""),"")</f>
        <v/>
      </c>
      <c r="M977" s="7" t="s">
        <v>110</v>
      </c>
      <c r="O977" s="7" t="str">
        <f>IFERROR(__xludf.DUMMYFUNCTION("""COMPUTED_VALUE"""),"")</f>
        <v/>
      </c>
      <c r="Q977" s="7" t="s">
        <v>110</v>
      </c>
      <c r="R977" s="7" t="str">
        <f>IFERROR(__xludf.DUMMYFUNCTION("""COMPUTED_VALUE"""),"")</f>
        <v/>
      </c>
    </row>
    <row r="978">
      <c r="B978" s="8"/>
      <c r="G978" s="7" t="str">
        <f>IFERROR(__xludf.DUMMYFUNCTION("""COMPUTED_VALUE"""),"")</f>
        <v/>
      </c>
      <c r="K978" s="7" t="str">
        <f>IFERROR(__xludf.DUMMYFUNCTION("""COMPUTED_VALUE"""),"")</f>
        <v/>
      </c>
      <c r="M978" s="7" t="s">
        <v>110</v>
      </c>
      <c r="O978" s="7" t="str">
        <f>IFERROR(__xludf.DUMMYFUNCTION("""COMPUTED_VALUE"""),"")</f>
        <v/>
      </c>
      <c r="Q978" s="7" t="s">
        <v>110</v>
      </c>
      <c r="R978" s="7" t="str">
        <f>IFERROR(__xludf.DUMMYFUNCTION("""COMPUTED_VALUE"""),"")</f>
        <v/>
      </c>
    </row>
    <row r="979">
      <c r="B979" s="8"/>
      <c r="G979" s="7" t="str">
        <f>IFERROR(__xludf.DUMMYFUNCTION("""COMPUTED_VALUE"""),"")</f>
        <v/>
      </c>
      <c r="K979" s="7" t="str">
        <f>IFERROR(__xludf.DUMMYFUNCTION("""COMPUTED_VALUE"""),"")</f>
        <v/>
      </c>
      <c r="M979" s="7" t="s">
        <v>110</v>
      </c>
      <c r="O979" s="7" t="str">
        <f>IFERROR(__xludf.DUMMYFUNCTION("""COMPUTED_VALUE"""),"")</f>
        <v/>
      </c>
      <c r="Q979" s="7" t="s">
        <v>110</v>
      </c>
      <c r="R979" s="7" t="str">
        <f>IFERROR(__xludf.DUMMYFUNCTION("""COMPUTED_VALUE"""),"")</f>
        <v/>
      </c>
    </row>
    <row r="980">
      <c r="B980" s="8"/>
      <c r="G980" s="7" t="str">
        <f>IFERROR(__xludf.DUMMYFUNCTION("""COMPUTED_VALUE"""),"")</f>
        <v/>
      </c>
      <c r="K980" s="7" t="str">
        <f>IFERROR(__xludf.DUMMYFUNCTION("""COMPUTED_VALUE"""),"")</f>
        <v/>
      </c>
      <c r="M980" s="7" t="s">
        <v>110</v>
      </c>
      <c r="O980" s="7" t="str">
        <f>IFERROR(__xludf.DUMMYFUNCTION("""COMPUTED_VALUE"""),"")</f>
        <v/>
      </c>
      <c r="Q980" s="7" t="s">
        <v>110</v>
      </c>
      <c r="R980" s="7" t="str">
        <f>IFERROR(__xludf.DUMMYFUNCTION("""COMPUTED_VALUE"""),"")</f>
        <v/>
      </c>
    </row>
    <row r="981">
      <c r="B981" s="8"/>
      <c r="G981" s="7" t="str">
        <f>IFERROR(__xludf.DUMMYFUNCTION("""COMPUTED_VALUE"""),"")</f>
        <v/>
      </c>
      <c r="K981" s="7" t="str">
        <f>IFERROR(__xludf.DUMMYFUNCTION("""COMPUTED_VALUE"""),"")</f>
        <v/>
      </c>
      <c r="M981" s="7" t="s">
        <v>110</v>
      </c>
      <c r="O981" s="7" t="str">
        <f>IFERROR(__xludf.DUMMYFUNCTION("""COMPUTED_VALUE"""),"")</f>
        <v/>
      </c>
      <c r="Q981" s="7" t="s">
        <v>110</v>
      </c>
      <c r="R981" s="7" t="str">
        <f>IFERROR(__xludf.DUMMYFUNCTION("""COMPUTED_VALUE"""),"")</f>
        <v/>
      </c>
    </row>
    <row r="982">
      <c r="B982" s="8"/>
      <c r="G982" s="7" t="str">
        <f>IFERROR(__xludf.DUMMYFUNCTION("""COMPUTED_VALUE"""),"")</f>
        <v/>
      </c>
      <c r="K982" s="7" t="str">
        <f>IFERROR(__xludf.DUMMYFUNCTION("""COMPUTED_VALUE"""),"")</f>
        <v/>
      </c>
      <c r="M982" s="7" t="s">
        <v>110</v>
      </c>
      <c r="O982" s="7" t="str">
        <f>IFERROR(__xludf.DUMMYFUNCTION("""COMPUTED_VALUE"""),"")</f>
        <v/>
      </c>
      <c r="Q982" s="7" t="s">
        <v>110</v>
      </c>
      <c r="R982" s="7" t="str">
        <f>IFERROR(__xludf.DUMMYFUNCTION("""COMPUTED_VALUE"""),"")</f>
        <v/>
      </c>
    </row>
    <row r="983">
      <c r="B983" s="8"/>
      <c r="G983" s="7" t="str">
        <f>IFERROR(__xludf.DUMMYFUNCTION("""COMPUTED_VALUE"""),"")</f>
        <v/>
      </c>
      <c r="K983" s="7" t="str">
        <f>IFERROR(__xludf.DUMMYFUNCTION("""COMPUTED_VALUE"""),"")</f>
        <v/>
      </c>
      <c r="M983" s="7" t="s">
        <v>110</v>
      </c>
      <c r="O983" s="7" t="str">
        <f>IFERROR(__xludf.DUMMYFUNCTION("""COMPUTED_VALUE"""),"")</f>
        <v/>
      </c>
      <c r="Q983" s="7" t="s">
        <v>110</v>
      </c>
      <c r="R983" s="7" t="str">
        <f>IFERROR(__xludf.DUMMYFUNCTION("""COMPUTED_VALUE"""),"")</f>
        <v/>
      </c>
    </row>
    <row r="984">
      <c r="B984" s="8"/>
      <c r="G984" s="7" t="str">
        <f>IFERROR(__xludf.DUMMYFUNCTION("""COMPUTED_VALUE"""),"")</f>
        <v/>
      </c>
      <c r="K984" s="7" t="str">
        <f>IFERROR(__xludf.DUMMYFUNCTION("""COMPUTED_VALUE"""),"")</f>
        <v/>
      </c>
      <c r="M984" s="7" t="s">
        <v>110</v>
      </c>
      <c r="O984" s="7" t="str">
        <f>IFERROR(__xludf.DUMMYFUNCTION("""COMPUTED_VALUE"""),"")</f>
        <v/>
      </c>
      <c r="Q984" s="7" t="s">
        <v>110</v>
      </c>
      <c r="R984" s="7" t="str">
        <f>IFERROR(__xludf.DUMMYFUNCTION("""COMPUTED_VALUE"""),"")</f>
        <v/>
      </c>
    </row>
    <row r="985">
      <c r="B985" s="8"/>
      <c r="G985" s="7" t="str">
        <f>IFERROR(__xludf.DUMMYFUNCTION("""COMPUTED_VALUE"""),"")</f>
        <v/>
      </c>
      <c r="K985" s="7" t="str">
        <f>IFERROR(__xludf.DUMMYFUNCTION("""COMPUTED_VALUE"""),"")</f>
        <v/>
      </c>
      <c r="M985" s="7" t="s">
        <v>110</v>
      </c>
      <c r="O985" s="7" t="str">
        <f>IFERROR(__xludf.DUMMYFUNCTION("""COMPUTED_VALUE"""),"")</f>
        <v/>
      </c>
      <c r="Q985" s="7" t="s">
        <v>110</v>
      </c>
      <c r="R985" s="7" t="str">
        <f>IFERROR(__xludf.DUMMYFUNCTION("""COMPUTED_VALUE"""),"")</f>
        <v/>
      </c>
    </row>
    <row r="986">
      <c r="B986" s="8"/>
      <c r="G986" s="7" t="str">
        <f>IFERROR(__xludf.DUMMYFUNCTION("""COMPUTED_VALUE"""),"")</f>
        <v/>
      </c>
      <c r="K986" s="7" t="str">
        <f>IFERROR(__xludf.DUMMYFUNCTION("""COMPUTED_VALUE"""),"")</f>
        <v/>
      </c>
      <c r="M986" s="7" t="s">
        <v>110</v>
      </c>
      <c r="O986" s="7" t="str">
        <f>IFERROR(__xludf.DUMMYFUNCTION("""COMPUTED_VALUE"""),"")</f>
        <v/>
      </c>
      <c r="Q986" s="7" t="s">
        <v>110</v>
      </c>
      <c r="R986" s="7" t="str">
        <f>IFERROR(__xludf.DUMMYFUNCTION("""COMPUTED_VALUE"""),"")</f>
        <v/>
      </c>
    </row>
    <row r="987">
      <c r="B987" s="8"/>
      <c r="G987" s="7" t="str">
        <f>IFERROR(__xludf.DUMMYFUNCTION("""COMPUTED_VALUE"""),"")</f>
        <v/>
      </c>
      <c r="K987" s="7" t="str">
        <f>IFERROR(__xludf.DUMMYFUNCTION("""COMPUTED_VALUE"""),"")</f>
        <v/>
      </c>
      <c r="M987" s="7" t="s">
        <v>110</v>
      </c>
      <c r="O987" s="7" t="str">
        <f>IFERROR(__xludf.DUMMYFUNCTION("""COMPUTED_VALUE"""),"")</f>
        <v/>
      </c>
      <c r="Q987" s="7" t="s">
        <v>110</v>
      </c>
      <c r="R987" s="7" t="str">
        <f>IFERROR(__xludf.DUMMYFUNCTION("""COMPUTED_VALUE"""),"")</f>
        <v/>
      </c>
    </row>
    <row r="988">
      <c r="B988" s="8"/>
      <c r="G988" s="7" t="str">
        <f>IFERROR(__xludf.DUMMYFUNCTION("""COMPUTED_VALUE"""),"")</f>
        <v/>
      </c>
      <c r="K988" s="7" t="str">
        <f>IFERROR(__xludf.DUMMYFUNCTION("""COMPUTED_VALUE"""),"")</f>
        <v/>
      </c>
      <c r="M988" s="7" t="s">
        <v>110</v>
      </c>
      <c r="O988" s="7" t="str">
        <f>IFERROR(__xludf.DUMMYFUNCTION("""COMPUTED_VALUE"""),"")</f>
        <v/>
      </c>
      <c r="Q988" s="7" t="s">
        <v>110</v>
      </c>
      <c r="R988" s="7" t="str">
        <f>IFERROR(__xludf.DUMMYFUNCTION("""COMPUTED_VALUE"""),"")</f>
        <v/>
      </c>
    </row>
    <row r="989">
      <c r="B989" s="8"/>
      <c r="G989" s="7" t="str">
        <f>IFERROR(__xludf.DUMMYFUNCTION("""COMPUTED_VALUE"""),"")</f>
        <v/>
      </c>
      <c r="K989" s="7" t="str">
        <f>IFERROR(__xludf.DUMMYFUNCTION("""COMPUTED_VALUE"""),"")</f>
        <v/>
      </c>
      <c r="M989" s="7" t="s">
        <v>110</v>
      </c>
      <c r="O989" s="7" t="str">
        <f>IFERROR(__xludf.DUMMYFUNCTION("""COMPUTED_VALUE"""),"")</f>
        <v/>
      </c>
      <c r="Q989" s="7" t="s">
        <v>110</v>
      </c>
      <c r="R989" s="7" t="str">
        <f>IFERROR(__xludf.DUMMYFUNCTION("""COMPUTED_VALUE"""),"")</f>
        <v/>
      </c>
    </row>
    <row r="990">
      <c r="B990" s="8"/>
      <c r="G990" s="7" t="str">
        <f>IFERROR(__xludf.DUMMYFUNCTION("""COMPUTED_VALUE"""),"")</f>
        <v/>
      </c>
      <c r="K990" s="7" t="str">
        <f>IFERROR(__xludf.DUMMYFUNCTION("""COMPUTED_VALUE"""),"")</f>
        <v/>
      </c>
      <c r="M990" s="7" t="s">
        <v>110</v>
      </c>
      <c r="O990" s="7" t="str">
        <f>IFERROR(__xludf.DUMMYFUNCTION("""COMPUTED_VALUE"""),"")</f>
        <v/>
      </c>
      <c r="Q990" s="7" t="s">
        <v>110</v>
      </c>
      <c r="R990" s="7" t="str">
        <f>IFERROR(__xludf.DUMMYFUNCTION("""COMPUTED_VALUE"""),"")</f>
        <v/>
      </c>
    </row>
    <row r="991">
      <c r="B991" s="8"/>
      <c r="G991" s="7" t="str">
        <f>IFERROR(__xludf.DUMMYFUNCTION("""COMPUTED_VALUE"""),"")</f>
        <v/>
      </c>
      <c r="K991" s="7" t="str">
        <f>IFERROR(__xludf.DUMMYFUNCTION("""COMPUTED_VALUE"""),"")</f>
        <v/>
      </c>
      <c r="M991" s="7" t="s">
        <v>110</v>
      </c>
      <c r="O991" s="7" t="str">
        <f>IFERROR(__xludf.DUMMYFUNCTION("""COMPUTED_VALUE"""),"")</f>
        <v/>
      </c>
      <c r="Q991" s="7" t="s">
        <v>110</v>
      </c>
      <c r="R991" s="7" t="str">
        <f>IFERROR(__xludf.DUMMYFUNCTION("""COMPUTED_VALUE"""),"")</f>
        <v/>
      </c>
    </row>
    <row r="992">
      <c r="B992" s="8"/>
      <c r="G992" s="7" t="str">
        <f>IFERROR(__xludf.DUMMYFUNCTION("""COMPUTED_VALUE"""),"")</f>
        <v/>
      </c>
      <c r="K992" s="7" t="str">
        <f>IFERROR(__xludf.DUMMYFUNCTION("""COMPUTED_VALUE"""),"")</f>
        <v/>
      </c>
      <c r="M992" s="7" t="s">
        <v>110</v>
      </c>
      <c r="O992" s="7" t="str">
        <f>IFERROR(__xludf.DUMMYFUNCTION("""COMPUTED_VALUE"""),"")</f>
        <v/>
      </c>
      <c r="Q992" s="7" t="s">
        <v>110</v>
      </c>
      <c r="R992" s="7" t="str">
        <f>IFERROR(__xludf.DUMMYFUNCTION("""COMPUTED_VALUE"""),"")</f>
        <v/>
      </c>
    </row>
    <row r="993">
      <c r="B993" s="8"/>
      <c r="G993" s="7" t="str">
        <f>IFERROR(__xludf.DUMMYFUNCTION("""COMPUTED_VALUE"""),"")</f>
        <v/>
      </c>
      <c r="K993" s="7" t="str">
        <f>IFERROR(__xludf.DUMMYFUNCTION("""COMPUTED_VALUE"""),"")</f>
        <v/>
      </c>
      <c r="M993" s="7" t="s">
        <v>110</v>
      </c>
      <c r="O993" s="7" t="str">
        <f>IFERROR(__xludf.DUMMYFUNCTION("""COMPUTED_VALUE"""),"")</f>
        <v/>
      </c>
      <c r="Q993" s="7" t="s">
        <v>110</v>
      </c>
      <c r="R993" s="7" t="str">
        <f>IFERROR(__xludf.DUMMYFUNCTION("""COMPUTED_VALUE"""),"")</f>
        <v/>
      </c>
    </row>
    <row r="994">
      <c r="B994" s="8"/>
      <c r="G994" s="7" t="str">
        <f>IFERROR(__xludf.DUMMYFUNCTION("""COMPUTED_VALUE"""),"")</f>
        <v/>
      </c>
      <c r="K994" s="7" t="str">
        <f>IFERROR(__xludf.DUMMYFUNCTION("""COMPUTED_VALUE"""),"")</f>
        <v/>
      </c>
      <c r="M994" s="7" t="s">
        <v>110</v>
      </c>
      <c r="O994" s="7" t="str">
        <f>IFERROR(__xludf.DUMMYFUNCTION("""COMPUTED_VALUE"""),"")</f>
        <v/>
      </c>
      <c r="Q994" s="7" t="s">
        <v>110</v>
      </c>
      <c r="R994" s="7" t="str">
        <f>IFERROR(__xludf.DUMMYFUNCTION("""COMPUTED_VALUE"""),"")</f>
        <v/>
      </c>
    </row>
    <row r="995">
      <c r="B995" s="8"/>
      <c r="G995" s="7" t="str">
        <f>IFERROR(__xludf.DUMMYFUNCTION("""COMPUTED_VALUE"""),"")</f>
        <v/>
      </c>
      <c r="K995" s="7" t="str">
        <f>IFERROR(__xludf.DUMMYFUNCTION("""COMPUTED_VALUE"""),"")</f>
        <v/>
      </c>
      <c r="M995" s="7" t="s">
        <v>110</v>
      </c>
      <c r="O995" s="7" t="str">
        <f>IFERROR(__xludf.DUMMYFUNCTION("""COMPUTED_VALUE"""),"")</f>
        <v/>
      </c>
      <c r="Q995" s="7" t="s">
        <v>110</v>
      </c>
      <c r="R995" s="7" t="str">
        <f>IFERROR(__xludf.DUMMYFUNCTION("""COMPUTED_VALUE"""),"")</f>
        <v/>
      </c>
    </row>
    <row r="996">
      <c r="B996" s="8"/>
      <c r="G996" s="7" t="str">
        <f>IFERROR(__xludf.DUMMYFUNCTION("""COMPUTED_VALUE"""),"")</f>
        <v/>
      </c>
      <c r="K996" s="7" t="str">
        <f>IFERROR(__xludf.DUMMYFUNCTION("""COMPUTED_VALUE"""),"")</f>
        <v/>
      </c>
      <c r="M996" s="7" t="s">
        <v>110</v>
      </c>
      <c r="O996" s="7" t="str">
        <f>IFERROR(__xludf.DUMMYFUNCTION("""COMPUTED_VALUE"""),"")</f>
        <v/>
      </c>
      <c r="Q996" s="7" t="s">
        <v>110</v>
      </c>
      <c r="R996" s="7" t="str">
        <f>IFERROR(__xludf.DUMMYFUNCTION("""COMPUTED_VALUE"""),"")</f>
        <v/>
      </c>
    </row>
    <row r="997">
      <c r="B997" s="8"/>
      <c r="G997" s="7" t="str">
        <f>IFERROR(__xludf.DUMMYFUNCTION("""COMPUTED_VALUE"""),"")</f>
        <v/>
      </c>
      <c r="K997" s="7" t="str">
        <f>IFERROR(__xludf.DUMMYFUNCTION("""COMPUTED_VALUE"""),"")</f>
        <v/>
      </c>
      <c r="M997" s="7" t="s">
        <v>110</v>
      </c>
      <c r="O997" s="7" t="str">
        <f>IFERROR(__xludf.DUMMYFUNCTION("""COMPUTED_VALUE"""),"")</f>
        <v/>
      </c>
      <c r="Q997" s="7" t="s">
        <v>110</v>
      </c>
      <c r="R997" s="7" t="str">
        <f>IFERROR(__xludf.DUMMYFUNCTION("""COMPUTED_VALUE"""),"")</f>
        <v/>
      </c>
    </row>
    <row r="998">
      <c r="B998" s="8"/>
      <c r="G998" s="7" t="str">
        <f>IFERROR(__xludf.DUMMYFUNCTION("""COMPUTED_VALUE"""),"")</f>
        <v/>
      </c>
      <c r="K998" s="7" t="str">
        <f>IFERROR(__xludf.DUMMYFUNCTION("""COMPUTED_VALUE"""),"")</f>
        <v/>
      </c>
      <c r="M998" s="7" t="s">
        <v>110</v>
      </c>
      <c r="O998" s="7" t="str">
        <f>IFERROR(__xludf.DUMMYFUNCTION("""COMPUTED_VALUE"""),"")</f>
        <v/>
      </c>
      <c r="Q998" s="7" t="s">
        <v>110</v>
      </c>
      <c r="R998" s="7" t="str">
        <f>IFERROR(__xludf.DUMMYFUNCTION("""COMPUTED_VALUE"""),"")</f>
        <v/>
      </c>
    </row>
    <row r="999">
      <c r="B999" s="8"/>
      <c r="G999" s="7" t="str">
        <f>IFERROR(__xludf.DUMMYFUNCTION("""COMPUTED_VALUE"""),"")</f>
        <v/>
      </c>
      <c r="K999" s="7" t="str">
        <f>IFERROR(__xludf.DUMMYFUNCTION("""COMPUTED_VALUE"""),"")</f>
        <v/>
      </c>
      <c r="M999" s="7" t="s">
        <v>110</v>
      </c>
      <c r="O999" s="7" t="str">
        <f>IFERROR(__xludf.DUMMYFUNCTION("""COMPUTED_VALUE"""),"")</f>
        <v/>
      </c>
      <c r="Q999" s="7" t="s">
        <v>110</v>
      </c>
      <c r="R999" s="7" t="str">
        <f>IFERROR(__xludf.DUMMYFUNCTION("""COMPUTED_VALUE"""),"")</f>
        <v/>
      </c>
    </row>
    <row r="1000">
      <c r="B1000" s="8"/>
      <c r="G1000" s="7" t="str">
        <f>IFERROR(__xludf.DUMMYFUNCTION("""COMPUTED_VALUE"""),"")</f>
        <v/>
      </c>
      <c r="K1000" s="7" t="str">
        <f>IFERROR(__xludf.DUMMYFUNCTION("""COMPUTED_VALUE"""),"")</f>
        <v/>
      </c>
      <c r="M1000" s="7" t="s">
        <v>110</v>
      </c>
      <c r="O1000" s="7" t="str">
        <f>IFERROR(__xludf.DUMMYFUNCTION("""COMPUTED_VALUE"""),"")</f>
        <v/>
      </c>
      <c r="Q1000" s="7" t="s">
        <v>110</v>
      </c>
      <c r="R1000" s="7" t="str">
        <f>IFERROR(__xludf.DUMMYFUNCTION("""COMPUTED_VALUE"""),"")</f>
        <v/>
      </c>
    </row>
  </sheetData>
  <autoFilter ref="$M$1:$M$1000"/>
  <drawing r:id="rId1"/>
</worksheet>
</file>